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sheet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activeTab="0" autoFilterDateGrouping="1" firstSheet="0" minimized="0" showHorizontalScroll="1" showSheetTabs="1" showVerticalScroll="1" tabRatio="600" visibility="visible" windowHeight="7620" windowWidth="20490" xWindow="0" yWindow="0"/>
  </bookViews>
  <sheets>
    <sheet name="Протокол" sheetId="1" state="visible" r:id="rId1"/>
    <sheet name="Измерения" sheetId="2" state="visible" r:id="rId2"/>
    <sheet name="Бюджет" sheetId="3" state="visible" r:id="rId3"/>
    <sheet name="Form1" sheetId="4" state="hidden" r:id="rId4"/>
    <sheet name="Form2" sheetId="5" state="hidden" r:id="rId5"/>
    <sheet name="Form3" sheetId="6" state="hidden" r:id="rId6"/>
    <sheet name="Свидетельство" sheetId="7" state="visible" r:id="rId7"/>
    <sheet name="номера" sheetId="8" state="visible" r:id="rId8"/>
    <sheet name="Рабочие записи" sheetId="9" state="visible" r:id="rId9"/>
    <sheet name="сборки эталонов" sheetId="10" state="visible" r:id="rId10"/>
  </sheets>
  <definedNames>
    <definedName localSheetId="4" name="StdDevQ">#REF!</definedName>
    <definedName localSheetId="5" name="StdDevQ">#REF!</definedName>
    <definedName name="StdDevQ">#REF!</definedName>
    <definedName localSheetId="0" name="_xlnm.Print_Area">'Протокол'!$A$1:$I$68</definedName>
    <definedName localSheetId="1" name="_xlnm.Print_Area">'Измерения'!$A$1:$H$51</definedName>
    <definedName localSheetId="3" name="_xlnm.Print_Area">'Form1'!$A$1:$J$67</definedName>
    <definedName localSheetId="4" name="_xlnm.Print_Area">'Form2'!$A$1:$J$68</definedName>
    <definedName localSheetId="5" name="_xlnm.Print_Area">'Form3'!$A$1:$J$69</definedName>
    <definedName localSheetId="8" name="_xlnm.Print_Area">'Рабочие записи'!$A$1:$I$61</definedName>
  </definedNames>
  <calcPr calcId="162913" fullCalcOnLoad="1"/>
</workbook>
</file>

<file path=xl/styles.xml><?xml version="1.0" encoding="utf-8"?>
<styleSheet xmlns="http://schemas.openxmlformats.org/spreadsheetml/2006/main">
  <numFmts count="6">
    <numFmt formatCode="0.0000" numFmtId="164"/>
    <numFmt formatCode="0.000000" numFmtId="165"/>
    <numFmt formatCode="0.000" numFmtId="166"/>
    <numFmt formatCode="0.0" numFmtId="167"/>
    <numFmt formatCode="0.0E+00" numFmtId="168"/>
    <numFmt formatCode="_-* #,##0.00\ _₽_-;\-* #,##0.00\ _₽_-;_-* &quot;-&quot;??\ _₽_-;_-@_-" numFmtId="169"/>
  </numFmts>
  <fonts count="29">
    <font>
      <name val="Times New Roman"/>
      <charset val="204"/>
      <family val="2"/>
      <color theme="1"/>
      <sz val="12"/>
    </font>
    <font>
      <name val="Segoe UI Light"/>
      <charset val="204"/>
      <family val="2"/>
      <color indexed="8"/>
      <sz val="8"/>
    </font>
    <font>
      <name val="Segoe UI Light"/>
      <charset val="204"/>
      <family val="2"/>
      <b val="1"/>
      <color indexed="8"/>
      <sz val="8"/>
    </font>
    <font>
      <name val="Segoe UI Light"/>
      <charset val="204"/>
      <family val="2"/>
      <b val="1"/>
      <i val="1"/>
      <color indexed="8"/>
      <sz val="8"/>
    </font>
    <font>
      <name val="Segoe UI Light"/>
      <charset val="204"/>
      <family val="2"/>
      <b val="1"/>
      <i val="1"/>
      <color indexed="8"/>
      <sz val="8"/>
      <vertAlign val="subscript"/>
    </font>
    <font>
      <name val="Segoe UI Light"/>
      <charset val="204"/>
      <family val="2"/>
      <b val="1"/>
      <color indexed="8"/>
      <sz val="8"/>
      <vertAlign val="subscript"/>
    </font>
    <font>
      <name val="Segoe UI Light"/>
      <charset val="204"/>
      <family val="2"/>
      <color indexed="10"/>
      <sz val="8"/>
    </font>
    <font>
      <name val="Segoe UI Light"/>
      <charset val="204"/>
      <family val="2"/>
      <i val="1"/>
      <color indexed="8"/>
      <sz val="8"/>
      <u val="single"/>
    </font>
    <font>
      <name val="Segoe UI Light"/>
      <charset val="204"/>
      <family val="2"/>
      <color indexed="8"/>
      <sz val="6"/>
    </font>
    <font>
      <name val="Times New Roman"/>
      <charset val="204"/>
      <family val="1"/>
      <i val="1"/>
      <color indexed="8"/>
      <sz val="12"/>
    </font>
    <font>
      <name val="Times New Roman"/>
      <charset val="204"/>
      <family val="1"/>
      <b val="1"/>
      <color indexed="8"/>
      <sz val="12"/>
    </font>
    <font>
      <name val="Times New Roman"/>
      <charset val="204"/>
      <family val="1"/>
      <color indexed="8"/>
      <sz val="8"/>
    </font>
    <font>
      <name val="Segoe UI Light"/>
      <charset val="204"/>
      <family val="2"/>
      <b val="1"/>
      <i val="1"/>
      <color indexed="8"/>
      <sz val="8"/>
      <u val="single"/>
    </font>
    <font>
      <name val="Segoe UI Light"/>
      <charset val="204"/>
      <family val="2"/>
      <b val="1"/>
      <color indexed="8"/>
      <sz val="8"/>
    </font>
    <font>
      <name val="Segoe UI Light"/>
      <charset val="204"/>
      <family val="2"/>
      <b val="1"/>
      <i val="1"/>
      <color indexed="8"/>
      <sz val="8"/>
      <u val="single"/>
    </font>
    <font>
      <name val="Segoe UI Light"/>
      <charset val="204"/>
      <family val="2"/>
      <i val="1"/>
      <color indexed="8"/>
      <sz val="8"/>
    </font>
    <font>
      <name val="Times New Roman"/>
      <charset val="204"/>
      <family val="1"/>
      <i val="1"/>
      <color indexed="8"/>
      <sz val="10"/>
    </font>
    <font>
      <name val="Times New Roman"/>
      <charset val="204"/>
      <family val="1"/>
      <b val="1"/>
      <color indexed="8"/>
      <sz val="10"/>
    </font>
    <font>
      <name val="Arial"/>
      <family val="2"/>
      <sz val="10"/>
    </font>
    <font>
      <name val="Calibri"/>
      <family val="2"/>
      <color indexed="8"/>
      <sz val="11"/>
    </font>
    <font>
      <name val="Arial"/>
      <charset val="204"/>
      <family val="2"/>
      <sz val="10"/>
    </font>
    <font>
      <name val="Times New Roman"/>
      <charset val="204"/>
      <family val="2"/>
      <sz val="8"/>
    </font>
    <font>
      <name val="Calibri"/>
      <family val="2"/>
      <color theme="1"/>
      <sz val="11"/>
      <scheme val="minor"/>
    </font>
    <font>
      <name val="Times New Roman"/>
      <charset val="204"/>
      <family val="1"/>
      <color rgb="FF000000"/>
      <sz val="12"/>
    </font>
    <font>
      <name val="Segoe UI Light"/>
      <charset val="204"/>
      <family val="2"/>
      <color indexed="8"/>
      <sz val="10"/>
    </font>
    <font>
      <name val="Times New Roman"/>
      <charset val="204"/>
      <family val="1"/>
      <color theme="1"/>
      <sz val="10"/>
    </font>
    <font>
      <name val="Times New Roman"/>
      <charset val="204"/>
      <family val="1"/>
      <b val="1"/>
      <color theme="1"/>
      <sz val="12"/>
    </font>
    <font>
      <name val="Times New Roman"/>
      <charset val="204"/>
      <family val="1"/>
      <i val="1"/>
      <color theme="1"/>
      <sz val="10"/>
    </font>
    <font>
      <name val="Times New Roman"/>
      <charset val="204"/>
      <family val="1"/>
      <b val="1"/>
      <i val="1"/>
      <color theme="1"/>
      <sz val="10"/>
    </font>
  </fonts>
  <fills count="2">
    <fill>
      <patternFill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18" numFmtId="169"/>
    <xf borderId="0" fillId="0" fontId="18" numFmtId="0"/>
    <xf borderId="0" fillId="0" fontId="18" numFmtId="0"/>
    <xf borderId="0" fillId="0" fontId="18" numFmtId="9"/>
    <xf borderId="0" fillId="0" fontId="22" numFmtId="0"/>
    <xf borderId="0" fillId="0" fontId="20" numFmtId="0"/>
    <xf borderId="0" fillId="0" fontId="19" numFmtId="9"/>
  </cellStyleXfs>
  <cellXfs count="148">
    <xf borderId="0" fillId="0" fontId="0" numFmtId="0" pivotButton="0" quotePrefix="0" xfId="0"/>
    <xf borderId="0" fillId="0" fontId="1" numFmtId="0" pivotButton="0" quotePrefix="0" xfId="0"/>
    <xf borderId="1" fillId="0" fontId="1" numFmtId="0" pivotButton="0" quotePrefix="0" xfId="0"/>
    <xf borderId="0" fillId="0" fontId="1" numFmtId="0" pivotButton="0" quotePrefix="0" xfId="0"/>
    <xf applyAlignment="1" borderId="0" fillId="0" fontId="1" numFmtId="0" pivotButton="0" quotePrefix="0" xfId="0">
      <alignment horizontal="center" vertical="center"/>
    </xf>
    <xf applyAlignment="1" borderId="0" fillId="0" fontId="1" numFmtId="0" pivotButton="0" quotePrefix="0" xfId="0">
      <alignment horizontal="center" vertical="top" wrapText="1"/>
    </xf>
    <xf applyAlignment="1" borderId="0" fillId="0" fontId="1" numFmtId="0" pivotButton="0" quotePrefix="0" xfId="0">
      <alignment horizontal="center" vertical="top"/>
    </xf>
    <xf borderId="2" fillId="0" fontId="1" numFmtId="0" pivotButton="0" quotePrefix="0" xfId="0"/>
    <xf applyAlignment="1" borderId="2" fillId="0" fontId="2" numFmtId="0" pivotButton="0" quotePrefix="0" xfId="0">
      <alignment horizontal="center"/>
    </xf>
    <xf applyAlignment="1" borderId="2" fillId="0" fontId="3" numFmtId="0" pivotButton="0" quotePrefix="0" xfId="0">
      <alignment horizontal="center"/>
    </xf>
    <xf applyAlignment="1" borderId="3" fillId="0" fontId="1" numFmtId="0" pivotButton="0" quotePrefix="0" xfId="0">
      <alignment horizontal="center" vertical="center"/>
    </xf>
    <xf applyAlignment="1" borderId="3" fillId="0" fontId="1" numFmtId="164" pivotButton="0" quotePrefix="0" xfId="0">
      <alignment horizontal="center" vertical="center"/>
    </xf>
    <xf applyAlignment="1" borderId="0" fillId="0" fontId="1" numFmtId="164" pivotButton="0" quotePrefix="0" xfId="0">
      <alignment horizontal="center" vertical="center"/>
    </xf>
    <xf applyAlignment="1" borderId="0" fillId="0" fontId="1" numFmtId="165" pivotButton="0" quotePrefix="0" xfId="0">
      <alignment horizontal="center" vertical="center"/>
    </xf>
    <xf applyAlignment="1" borderId="2" fillId="0" fontId="1" numFmtId="0" pivotButton="0" quotePrefix="0" xfId="0">
      <alignment horizontal="center" vertical="center"/>
    </xf>
    <xf applyAlignment="1" borderId="2" fillId="0" fontId="1" numFmtId="164" pivotButton="0" quotePrefix="0" xfId="0">
      <alignment horizontal="center" vertical="center"/>
    </xf>
    <xf applyAlignment="1" borderId="2" fillId="0" fontId="1" numFmtId="165" pivotButton="0" quotePrefix="0" xfId="0">
      <alignment horizontal="center" vertical="center"/>
    </xf>
    <xf applyAlignment="1" borderId="0" fillId="0" fontId="3" numFmtId="0" pivotButton="0" quotePrefix="0" xfId="0">
      <alignment horizontal="center"/>
    </xf>
    <xf applyAlignment="1" borderId="0" fillId="0" fontId="2" numFmtId="0" pivotButton="0" quotePrefix="0" xfId="0">
      <alignment horizontal="center"/>
    </xf>
    <xf applyAlignment="1" borderId="0" fillId="0" fontId="1" numFmtId="0" pivotButton="0" quotePrefix="0" xfId="0">
      <alignment horizontal="left" vertical="center"/>
    </xf>
    <xf applyAlignment="1" borderId="0" fillId="0" fontId="1" numFmtId="166" pivotButton="0" quotePrefix="0" xfId="0">
      <alignment horizontal="center" vertical="center"/>
    </xf>
    <xf applyAlignment="1" borderId="0" fillId="0" fontId="1" numFmtId="0" pivotButton="0" quotePrefix="0" xfId="0">
      <alignment horizontal="left" vertical="center"/>
    </xf>
    <xf borderId="0" fillId="0" fontId="2" numFmtId="0" pivotButton="0" quotePrefix="0" xfId="0"/>
    <xf applyAlignment="1" borderId="0" fillId="0" fontId="1" numFmtId="0" pivotButton="0" quotePrefix="0" xfId="0">
      <alignment horizontal="center" vertical="center"/>
    </xf>
    <xf applyAlignment="1" borderId="0" fillId="0" fontId="1" numFmtId="0" pivotButton="0" quotePrefix="0" xfId="0">
      <alignment vertical="center"/>
    </xf>
    <xf applyAlignment="1" borderId="0" fillId="0" fontId="7" numFmtId="0" pivotButton="0" quotePrefix="0" xfId="0">
      <alignment horizontal="left" vertical="center" wrapText="1"/>
    </xf>
    <xf applyAlignment="1" borderId="0" fillId="0" fontId="1" numFmtId="0" pivotButton="0" quotePrefix="0" xfId="0">
      <alignment horizontal="right" vertical="center"/>
    </xf>
    <xf applyAlignment="1" borderId="0" fillId="0" fontId="7" numFmtId="0" pivotButton="0" quotePrefix="0" xfId="0">
      <alignment vertical="center"/>
    </xf>
    <xf applyAlignment="1" borderId="0" fillId="0" fontId="7" numFmtId="0" pivotButton="0" quotePrefix="0" xfId="0">
      <alignment horizontal="left" vertical="center"/>
    </xf>
    <xf borderId="0" fillId="0" fontId="7" numFmtId="0" pivotButton="0" quotePrefix="0" xfId="0"/>
    <xf borderId="0" fillId="0" fontId="7" numFmtId="49" pivotButton="0" quotePrefix="0" xfId="0"/>
    <xf borderId="0" fillId="0" fontId="8" numFmtId="0" pivotButton="0" quotePrefix="0" xfId="0"/>
    <xf applyAlignment="1" borderId="0" fillId="0" fontId="7" numFmtId="0" pivotButton="0" quotePrefix="0" xfId="0">
      <alignment horizontal="left" vertical="top"/>
    </xf>
    <xf applyAlignment="1" borderId="2" fillId="0" fontId="1" numFmtId="10" pivotButton="0" quotePrefix="0" xfId="0">
      <alignment horizontal="center" vertical="center"/>
    </xf>
    <xf applyAlignment="1" borderId="0" fillId="0" fontId="1" numFmtId="10" pivotButton="0" quotePrefix="0" xfId="0">
      <alignment horizontal="center" vertical="center"/>
    </xf>
    <xf applyAlignment="1" borderId="3" fillId="0" fontId="1" numFmtId="10" pivotButton="0" quotePrefix="0" xfId="0">
      <alignment horizontal="center" vertical="center"/>
    </xf>
    <xf applyAlignment="1" borderId="0" fillId="0" fontId="1" numFmtId="167" pivotButton="0" quotePrefix="0" xfId="0">
      <alignment horizontal="right" vertical="center"/>
    </xf>
    <xf borderId="0" fillId="0" fontId="1" numFmtId="167" pivotButton="0" quotePrefix="0" xfId="0"/>
    <xf borderId="0" fillId="0" fontId="1" numFmtId="0" pivotButton="0" quotePrefix="0" xfId="0"/>
    <xf borderId="0" fillId="0" fontId="0" numFmtId="0" pivotButton="0" quotePrefix="0" xfId="0"/>
    <xf applyAlignment="1" borderId="0" fillId="0" fontId="12" numFmtId="0" pivotButton="0" quotePrefix="0" xfId="0">
      <alignment horizontal="left" vertical="center"/>
    </xf>
    <xf applyAlignment="1" borderId="0" fillId="0" fontId="12" numFmtId="0" pivotButton="0" quotePrefix="0" xfId="0">
      <alignment horizontal="right" vertical="center"/>
    </xf>
    <xf applyAlignment="1" borderId="0" fillId="0" fontId="1" numFmtId="14" pivotButton="0" quotePrefix="0" xfId="0">
      <alignment horizontal="center" vertical="center"/>
    </xf>
    <xf applyAlignment="1" borderId="0" fillId="0" fontId="1" numFmtId="2" pivotButton="0" quotePrefix="0" xfId="0">
      <alignment horizontal="center" vertical="center"/>
    </xf>
    <xf applyAlignment="1" borderId="0" fillId="0" fontId="1" numFmtId="168" pivotButton="0" quotePrefix="0" xfId="0">
      <alignment horizontal="center" vertical="center"/>
    </xf>
    <xf applyAlignment="1" borderId="0" fillId="0" fontId="1" numFmtId="11" pivotButton="0" quotePrefix="0" xfId="0">
      <alignment horizontal="center" vertical="center"/>
    </xf>
    <xf applyAlignment="1" borderId="0" fillId="0" fontId="10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 vertical="center"/>
    </xf>
    <xf applyAlignment="1" borderId="4" fillId="0" fontId="16" numFmtId="0" pivotButton="0" quotePrefix="0" xfId="0">
      <alignment horizontal="center" vertical="center"/>
    </xf>
    <xf applyAlignment="1" borderId="4" fillId="0" fontId="16" numFmtId="167" pivotButton="0" quotePrefix="0" xfId="0">
      <alignment horizontal="center" vertical="center"/>
    </xf>
    <xf applyAlignment="1" borderId="4" fillId="0" fontId="17" numFmtId="0" pivotButton="0" quotePrefix="0" xfId="0">
      <alignment horizontal="center" vertical="center" wrapText="1"/>
    </xf>
    <xf applyAlignment="1" borderId="0" fillId="0" fontId="1" numFmtId="165" pivotButton="0" quotePrefix="0" xfId="0">
      <alignment horizontal="center" vertical="center"/>
    </xf>
    <xf applyAlignment="1" borderId="0" fillId="0" fontId="1" numFmtId="2" pivotButton="0" quotePrefix="0" xfId="0">
      <alignment horizontal="center"/>
    </xf>
    <xf applyAlignment="1" borderId="0" fillId="0" fontId="3" numFmtId="10" pivotButton="0" quotePrefix="0" xfId="0">
      <alignment horizontal="left" vertical="center"/>
    </xf>
    <xf borderId="0" fillId="0" fontId="1" numFmtId="164" pivotButton="0" quotePrefix="0" xfId="0"/>
    <xf applyAlignment="1" borderId="0" fillId="0" fontId="1" numFmtId="10" pivotButton="0" quotePrefix="0" xfId="0">
      <alignment horizontal="center" vertical="center"/>
    </xf>
    <xf applyAlignment="1" borderId="0" fillId="0" fontId="6" numFmtId="165" pivotButton="0" quotePrefix="0" xfId="0">
      <alignment horizontal="center" vertical="center"/>
    </xf>
    <xf borderId="0" fillId="0" fontId="16" numFmtId="0" pivotButton="0" quotePrefix="0" xfId="0"/>
    <xf borderId="0" fillId="0" fontId="16" numFmtId="0" pivotButton="0" quotePrefix="0" xfId="0"/>
    <xf applyAlignment="1" borderId="0" fillId="0" fontId="7" numFmtId="0" pivotButton="0" quotePrefix="0" xfId="0">
      <alignment vertical="top"/>
    </xf>
    <xf applyAlignment="1" borderId="0" fillId="0" fontId="7" numFmtId="14" pivotButton="0" quotePrefix="0" xfId="0">
      <alignment horizontal="left" vertical="top"/>
    </xf>
    <xf applyAlignment="1" borderId="0" fillId="0" fontId="7" numFmtId="0" pivotButton="0" quotePrefix="0" xfId="0">
      <alignment horizontal="right" vertical="center"/>
    </xf>
    <xf applyAlignment="1" borderId="3" fillId="0" fontId="1" numFmtId="0" pivotButton="0" quotePrefix="0" xfId="0">
      <alignment wrapText="1"/>
    </xf>
    <xf applyAlignment="1" borderId="0" fillId="0" fontId="1" numFmtId="0" pivotButton="0" quotePrefix="0" xfId="0">
      <alignment wrapText="1"/>
    </xf>
    <xf applyAlignment="1" borderId="2" fillId="0" fontId="1" numFmtId="0" pivotButton="0" quotePrefix="0" xfId="0">
      <alignment wrapText="1"/>
    </xf>
    <xf borderId="0" fillId="0" fontId="16" numFmtId="0" pivotButton="0" quotePrefix="0" xfId="0"/>
    <xf applyAlignment="1" borderId="0" fillId="0" fontId="16" numFmtId="49" pivotButton="0" quotePrefix="0" xfId="0">
      <alignment horizontal="right"/>
    </xf>
    <xf applyAlignment="1" borderId="0" fillId="0" fontId="16" numFmtId="49" pivotButton="0" quotePrefix="0" xfId="0">
      <alignment horizontal="right"/>
    </xf>
    <xf borderId="0" fillId="0" fontId="0" numFmtId="49" pivotButton="0" quotePrefix="0" xfId="0"/>
    <xf borderId="0" fillId="0" fontId="0" numFmtId="49" pivotButton="0" quotePrefix="0" xfId="0"/>
    <xf applyAlignment="1" borderId="6" fillId="0" fontId="1" numFmtId="0" pivotButton="0" quotePrefix="0" xfId="0">
      <alignment horizontal="center" vertical="center"/>
    </xf>
    <xf applyAlignment="1" borderId="0" fillId="0" fontId="1" numFmtId="0" pivotButton="0" quotePrefix="0" xfId="0">
      <alignment horizontal="center" vertical="center"/>
    </xf>
    <xf borderId="0" fillId="0" fontId="0" numFmtId="0" pivotButton="0" quotePrefix="0" xfId="0"/>
    <xf borderId="0" fillId="0" fontId="0" numFmtId="0" pivotButton="0" quotePrefix="0" xfId="0"/>
    <xf applyAlignment="1" borderId="6" fillId="0" fontId="1" numFmtId="0" pivotButton="0" quotePrefix="0" xfId="0">
      <alignment horizontal="left"/>
    </xf>
    <xf applyAlignment="1" borderId="7" fillId="0" fontId="1" numFmtId="0" pivotButton="0" quotePrefix="0" xfId="0">
      <alignment horizontal="center" vertical="center"/>
    </xf>
    <xf applyAlignment="1" borderId="8" fillId="0" fontId="1" numFmtId="0" pivotButton="0" quotePrefix="0" xfId="0">
      <alignment horizontal="center" vertical="center"/>
    </xf>
    <xf applyAlignment="1" borderId="9" fillId="0" fontId="1" numFmtId="0" pivotButton="0" quotePrefix="0" xfId="0">
      <alignment horizontal="left"/>
    </xf>
    <xf applyAlignment="1" borderId="9" fillId="0" fontId="1" numFmtId="0" pivotButton="0" quotePrefix="0" xfId="0">
      <alignment horizontal="center" vertical="center"/>
    </xf>
    <xf applyAlignment="1" borderId="0" fillId="0" fontId="14" numFmtId="0" pivotButton="0" quotePrefix="0" xfId="0">
      <alignment horizontal="left" vertical="center"/>
    </xf>
    <xf borderId="6" fillId="0" fontId="1" numFmtId="0" pivotButton="0" quotePrefix="0" xfId="0"/>
    <xf borderId="9" fillId="0" fontId="1" numFmtId="0" pivotButton="0" quotePrefix="0" xfId="0"/>
    <xf borderId="7" fillId="0" fontId="1" numFmtId="0" pivotButton="0" quotePrefix="0" xfId="0"/>
    <xf applyAlignment="1" borderId="0" fillId="0" fontId="0" numFmtId="0" pivotButton="0" quotePrefix="0" xfId="0">
      <alignment horizontal="center" vertical="center"/>
    </xf>
    <xf applyAlignment="1" borderId="4" fillId="0" fontId="16" numFmtId="0" pivotButton="0" quotePrefix="0" xfId="0">
      <alignment horizontal="center" vertical="center" wrapText="1"/>
    </xf>
    <xf borderId="0" fillId="0" fontId="2" numFmtId="0" pivotButton="0" quotePrefix="0" xfId="0"/>
    <xf applyAlignment="1" borderId="0" fillId="0" fontId="1" numFmtId="0" pivotButton="0" quotePrefix="0" xfId="0">
      <alignment horizontal="center" vertical="top" wrapText="1"/>
    </xf>
    <xf applyAlignment="1" borderId="0" fillId="0" fontId="1" numFmtId="0" pivotButton="0" quotePrefix="0" xfId="0">
      <alignment horizontal="center" vertical="top"/>
    </xf>
    <xf applyAlignment="1" borderId="0" fillId="0" fontId="2" numFmtId="0" pivotButton="0" quotePrefix="0" xfId="0">
      <alignment horizontal="center"/>
    </xf>
    <xf applyAlignment="1" borderId="0" fillId="0" fontId="3" numFmtId="0" pivotButton="0" quotePrefix="0" xfId="0">
      <alignment horizontal="center"/>
    </xf>
    <xf applyAlignment="1" borderId="0" fillId="0" fontId="1" numFmtId="2" pivotButton="0" quotePrefix="0" xfId="0">
      <alignment horizontal="center"/>
    </xf>
    <xf applyAlignment="1" borderId="0" fillId="0" fontId="3" numFmtId="10" pivotButton="0" quotePrefix="0" xfId="0">
      <alignment horizontal="left" vertical="center"/>
    </xf>
    <xf applyAlignment="1" borderId="0" fillId="0" fontId="1" numFmtId="167" pivotButton="0" quotePrefix="0" xfId="0">
      <alignment horizontal="right" vertical="center"/>
    </xf>
    <xf applyAlignment="1" borderId="0" fillId="0" fontId="6" numFmtId="165" pivotButton="0" quotePrefix="0" xfId="0">
      <alignment horizontal="center" vertical="center"/>
    </xf>
    <xf borderId="0" fillId="0" fontId="1" numFmtId="0" pivotButton="0" quotePrefix="0" xfId="0"/>
    <xf borderId="0" fillId="0" fontId="1" numFmtId="167" pivotButton="0" quotePrefix="0" xfId="0"/>
    <xf applyAlignment="1" borderId="7" fillId="0" fontId="1" numFmtId="14" pivotButton="0" quotePrefix="0" xfId="0">
      <alignment horizontal="center" vertical="center"/>
    </xf>
    <xf applyAlignment="1" borderId="0" fillId="0" fontId="17" numFmtId="0" pivotButton="0" quotePrefix="0" xfId="0">
      <alignment horizontal="center" vertical="center" wrapText="1"/>
    </xf>
    <xf applyAlignment="1" borderId="0" fillId="0" fontId="17" numFmtId="0" pivotButton="0" quotePrefix="0" xfId="0">
      <alignment horizontal="center" vertical="center" wrapText="1"/>
    </xf>
    <xf applyAlignment="1" borderId="0" fillId="0" fontId="16" numFmtId="0" pivotButton="0" quotePrefix="0" xfId="0">
      <alignment horizontal="center"/>
    </xf>
    <xf applyAlignment="1" borderId="0" fillId="0" fontId="16" numFmtId="0" pivotButton="0" quotePrefix="0" xfId="0">
      <alignment horizontal="center"/>
    </xf>
    <xf applyAlignment="1" borderId="0" fillId="0" fontId="16" numFmtId="0" pivotButton="0" quotePrefix="0" xfId="0">
      <alignment horizontal="center" vertical="center"/>
    </xf>
    <xf applyAlignment="1" borderId="6" fillId="0" fontId="24" numFmtId="0" pivotButton="0" quotePrefix="0" xfId="0">
      <alignment horizontal="center" vertical="center"/>
    </xf>
    <xf applyAlignment="1" borderId="8" fillId="0" fontId="1" numFmtId="0" pivotButton="0" quotePrefix="0" xfId="0">
      <alignment horizontal="left" vertical="center"/>
    </xf>
    <xf borderId="0" fillId="0" fontId="1" numFmtId="164" pivotButton="0" quotePrefix="0" xfId="0"/>
    <xf applyAlignment="1" borderId="4" fillId="0" fontId="17" numFmtId="0" pivotButton="0" quotePrefix="0" xfId="0">
      <alignment horizontal="center" vertical="center" wrapText="1"/>
    </xf>
    <xf applyAlignment="1" borderId="4" fillId="0" fontId="0" numFmtId="0" pivotButton="0" quotePrefix="0" xfId="0">
      <alignment horizontal="center" vertical="center"/>
    </xf>
    <xf borderId="0" fillId="0" fontId="26" numFmtId="0" pivotButton="0" quotePrefix="0" xfId="0"/>
    <xf applyAlignment="1" borderId="4" fillId="0" fontId="25" numFmtId="0" pivotButton="0" quotePrefix="0" xfId="0">
      <alignment vertical="center" wrapText="1"/>
    </xf>
    <xf applyAlignment="1" borderId="0" fillId="0" fontId="27" numFmtId="0" pivotButton="0" quotePrefix="0" xfId="0">
      <alignment horizontal="left" vertical="center"/>
    </xf>
    <xf applyAlignment="1" borderId="0" fillId="0" fontId="0" numFmtId="0" pivotButton="0" quotePrefix="0" xfId="0">
      <alignment horizontal="left"/>
    </xf>
    <xf applyAlignment="1" borderId="0" fillId="0" fontId="0" numFmtId="49" pivotButton="0" quotePrefix="0" xfId="0">
      <alignment horizontal="right"/>
    </xf>
    <xf applyAlignment="1" borderId="0" fillId="0" fontId="7" numFmtId="0" pivotButton="0" quotePrefix="0" xfId="0">
      <alignment vertical="top" wrapText="1"/>
    </xf>
    <xf borderId="0" fillId="0" fontId="15" numFmtId="0" pivotButton="0" quotePrefix="0" xfId="0"/>
    <xf applyAlignment="1" borderId="0" fillId="0" fontId="7" numFmtId="14" pivotButton="0" quotePrefix="0" xfId="0">
      <alignment vertical="center"/>
    </xf>
    <xf applyAlignment="1" borderId="11" fillId="0" fontId="15" numFmtId="0" pivotButton="0" quotePrefix="0" xfId="0">
      <alignment vertical="center"/>
    </xf>
    <xf applyAlignment="1" borderId="11" fillId="0" fontId="15" numFmtId="49" pivotButton="0" quotePrefix="0" xfId="0">
      <alignment vertical="center"/>
    </xf>
    <xf applyAlignment="1" borderId="10" fillId="0" fontId="1" numFmtId="0" pivotButton="0" quotePrefix="0" xfId="0">
      <alignment vertical="center"/>
    </xf>
    <xf applyAlignment="1" borderId="11" fillId="0" fontId="1" numFmtId="0" pivotButton="0" quotePrefix="0" xfId="0">
      <alignment vertical="center"/>
    </xf>
    <xf applyAlignment="1" borderId="12" fillId="0" fontId="1" numFmtId="0" pivotButton="0" quotePrefix="0" xfId="0">
      <alignment vertical="center"/>
    </xf>
    <xf borderId="1" fillId="0" fontId="1" numFmtId="0" pivotButton="0" quotePrefix="0" xfId="0"/>
    <xf borderId="0" fillId="0" fontId="27" numFmtId="0" pivotButton="0" quotePrefix="0" xfId="0"/>
    <xf applyAlignment="1" borderId="0" fillId="0" fontId="7" numFmtId="0" pivotButton="0" quotePrefix="0" xfId="0">
      <alignment horizontal="left" vertical="top"/>
    </xf>
    <xf borderId="0" fillId="0" fontId="7" numFmtId="0" pivotButton="0" quotePrefix="0" xfId="0"/>
    <xf borderId="0" fillId="0" fontId="15" numFmtId="0" pivotButton="0" quotePrefix="0" xfId="0"/>
    <xf applyAlignment="1" borderId="0" fillId="0" fontId="2" numFmtId="0" pivotButton="0" quotePrefix="0" xfId="0">
      <alignment horizontal="right" vertical="center"/>
    </xf>
    <xf applyAlignment="1" borderId="0" fillId="0" fontId="1" numFmtId="0" pivotButton="0" quotePrefix="0" xfId="0">
      <alignment horizontal="left" wrapText="1"/>
    </xf>
    <xf applyAlignment="1" borderId="0" fillId="0" fontId="7" numFmtId="0" pivotButton="0" quotePrefix="0" xfId="0">
      <alignment horizontal="left" vertical="top"/>
    </xf>
    <xf applyAlignment="1" borderId="0" fillId="0" fontId="8" numFmtId="0" pivotButton="0" quotePrefix="0" xfId="0">
      <alignment horizontal="center" vertical="top"/>
    </xf>
    <xf applyAlignment="1" borderId="1" fillId="0" fontId="1" numFmtId="0" pivotButton="0" quotePrefix="0" xfId="0">
      <alignment horizontal="center"/>
    </xf>
    <xf applyAlignment="1" borderId="5" fillId="0" fontId="8" numFmtId="0" pivotButton="0" quotePrefix="0" xfId="0">
      <alignment horizontal="center" vertical="top"/>
    </xf>
    <xf applyAlignment="1" borderId="0" fillId="0" fontId="1" numFmtId="0" pivotButton="0" quotePrefix="0" xfId="0">
      <alignment horizontal="left"/>
    </xf>
    <xf applyAlignment="1" borderId="0" fillId="0" fontId="15" numFmtId="0" pivotButton="0" quotePrefix="0" xfId="0">
      <alignment horizontal="left"/>
    </xf>
    <xf applyAlignment="1" borderId="0" fillId="0" fontId="13" numFmtId="0" pivotButton="0" quotePrefix="0" xfId="0">
      <alignment horizontal="right"/>
    </xf>
    <xf applyAlignment="1" borderId="0" fillId="0" fontId="28" numFmtId="0" pivotButton="0" quotePrefix="0" xfId="0">
      <alignment horizontal="left" vertical="center"/>
    </xf>
    <xf applyAlignment="1" borderId="0" fillId="0" fontId="27" numFmtId="0" pivotButton="0" quotePrefix="0" xfId="0">
      <alignment horizontal="left" vertical="center"/>
    </xf>
    <xf applyAlignment="1" borderId="0" fillId="0" fontId="27" numFmtId="0" pivotButton="0" quotePrefix="0" xfId="0">
      <alignment horizontal="left" vertical="center" wrapText="1"/>
    </xf>
    <xf borderId="1" fillId="0" fontId="0" numFmtId="0" pivotButton="0" quotePrefix="0" xfId="0"/>
    <xf borderId="5" fillId="0" fontId="0" numFmtId="0" pivotButton="0" quotePrefix="0" xfId="0"/>
    <xf applyAlignment="1" borderId="0" fillId="0" fontId="1" numFmtId="168" pivotButton="0" quotePrefix="0" xfId="0">
      <alignment horizontal="center" vertical="center"/>
    </xf>
    <xf applyAlignment="1" borderId="3" fillId="0" fontId="1" numFmtId="164" pivotButton="0" quotePrefix="0" xfId="0">
      <alignment horizontal="center" vertical="center"/>
    </xf>
    <xf applyAlignment="1" borderId="0" fillId="0" fontId="1" numFmtId="165" pivotButton="0" quotePrefix="0" xfId="0">
      <alignment horizontal="center" vertical="center"/>
    </xf>
    <xf applyAlignment="1" borderId="0" fillId="0" fontId="1" numFmtId="164" pivotButton="0" quotePrefix="0" xfId="0">
      <alignment horizontal="center" vertical="center"/>
    </xf>
    <xf applyAlignment="1" borderId="2" fillId="0" fontId="1" numFmtId="164" pivotButton="0" quotePrefix="0" xfId="0">
      <alignment horizontal="center" vertical="center"/>
    </xf>
    <xf applyAlignment="1" borderId="2" fillId="0" fontId="1" numFmtId="165" pivotButton="0" quotePrefix="0" xfId="0">
      <alignment horizontal="center" vertical="center"/>
    </xf>
    <xf applyAlignment="1" borderId="0" fillId="0" fontId="1" numFmtId="166" pivotButton="0" quotePrefix="0" xfId="0">
      <alignment horizontal="center" vertical="center"/>
    </xf>
    <xf applyAlignment="1" borderId="0" fillId="0" fontId="6" numFmtId="165" pivotButton="0" quotePrefix="0" xfId="0">
      <alignment horizontal="center" vertical="center"/>
    </xf>
    <xf borderId="0" fillId="0" fontId="1" numFmtId="164" pivotButton="0" quotePrefix="0" xfId="0"/>
  </cellXfs>
  <cellStyles count="8">
    <cellStyle builtinId="0" name="Обычный" xfId="0"/>
    <cellStyle name="Comma 2" xfId="1"/>
    <cellStyle name="Normal 2" xfId="2"/>
    <cellStyle name="Normal 2 2" xfId="3"/>
    <cellStyle name="Percent 2" xfId="4"/>
    <cellStyle name="Обычный 2" xfId="5"/>
    <cellStyle name="Обычный 3" xfId="6"/>
    <cellStyle name="Процентный 2" xfId="7"/>
  </cellStyles>
  <tableStyles count="0" defaultPivotStyle="PivotStyleLight16" defaultTableStyle="TableStyleMedium2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styles.xml" Type="http://schemas.openxmlformats.org/officeDocument/2006/relationships/styles" /><Relationship Id="rId12" Target="theme/theme1.xml" Type="http://schemas.openxmlformats.org/officeDocument/2006/relationships/theme" 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K84"/>
  <sheetViews>
    <sheetView tabSelected="1" topLeftCell="A10" view="pageBreakPreview" workbookViewId="0" zoomScale="115" zoomScaleNormal="160" zoomScalePageLayoutView="160" zoomScaleSheetLayoutView="115">
      <selection activeCell="A26" sqref="A26"/>
    </sheetView>
  </sheetViews>
  <sheetFormatPr baseColWidth="8" defaultRowHeight="10.5"/>
  <cols>
    <col customWidth="1" max="1" min="1" style="94" width="9"/>
    <col customWidth="1" max="2" min="2" style="94" width="10.25"/>
    <col customWidth="1" max="3" min="3" style="94" width="12.375"/>
    <col customWidth="1" max="16384" min="4" style="94" width="9"/>
  </cols>
  <sheetData>
    <row r="1">
      <c r="C1" s="125" t="inlineStr">
        <is>
          <t>ПРОТОКОЛ КАЛИБРОВКИ №</t>
        </is>
      </c>
      <c r="F1" s="41">
        <f>D45</f>
        <v/>
      </c>
      <c r="G1" s="40" t="n">
        <v>-42</v>
      </c>
    </row>
    <row r="3">
      <c r="A3" s="24" t="inlineStr">
        <is>
          <t>Объект калибровки:</t>
        </is>
      </c>
      <c r="C3" s="94" t="inlineStr">
        <is>
          <t>Установка высоковольтная</t>
        </is>
      </c>
      <c r="D3" s="94" t="n"/>
      <c r="E3" s="94" t="n"/>
      <c r="F3" s="94" t="n"/>
      <c r="G3" s="94" t="n"/>
      <c r="H3" s="94" t="n"/>
      <c r="I3" s="94" t="n"/>
    </row>
    <row r="4">
      <c r="C4" s="59" t="inlineStr">
        <is>
          <t>АИД-70</t>
        </is>
      </c>
      <c r="D4" s="59" t="n"/>
      <c r="E4" s="59" t="n"/>
      <c r="F4" s="59" t="n"/>
      <c r="G4" s="59" t="n"/>
      <c r="H4" s="59" t="n"/>
      <c r="I4" s="59" t="n"/>
    </row>
    <row r="5">
      <c r="D5" s="25" t="n"/>
      <c r="E5" s="25" t="n"/>
      <c r="F5" s="25" t="n"/>
      <c r="G5" s="25" t="n"/>
      <c r="H5" s="25" t="n"/>
      <c r="I5" s="25" t="n"/>
    </row>
    <row r="6">
      <c r="A6" s="94" t="inlineStr">
        <is>
          <t>Заводской номер:</t>
        </is>
      </c>
      <c r="C6" s="59" t="inlineStr">
        <is>
          <t>8080</t>
        </is>
      </c>
      <c r="D6" s="59" t="n"/>
      <c r="E6" s="59" t="n"/>
      <c r="F6" s="59" t="n"/>
      <c r="G6" s="59" t="n"/>
      <c r="H6" s="59" t="n"/>
      <c r="I6" s="59" t="n"/>
    </row>
    <row customHeight="1" ht="11.25" r="8" s="73">
      <c r="A8" s="94" t="inlineStr">
        <is>
          <t>Заказчик:</t>
        </is>
      </c>
      <c r="B8" s="59" t="inlineStr">
        <is>
          <t>ОАО "МЭТЗ ИМ. В.И.КОЗЛОВА",</t>
        </is>
      </c>
      <c r="C8" s="112" t="n"/>
      <c r="D8" s="112" t="n"/>
      <c r="E8" s="112" t="n"/>
      <c r="F8" s="112" t="n"/>
      <c r="G8" s="112" t="n"/>
      <c r="H8" s="112" t="n"/>
      <c r="I8" s="112" t="n"/>
    </row>
    <row customHeight="1" ht="12" r="9" s="73">
      <c r="B9" s="59" t="inlineStr">
        <is>
          <t>ул. Уральская, 4, каб. 502, 220037, г. Минск</t>
        </is>
      </c>
      <c r="C9" s="59" t="n"/>
      <c r="D9" s="59" t="n"/>
      <c r="E9" s="59" t="n"/>
      <c r="F9" s="59" t="n"/>
      <c r="G9" s="59" t="n"/>
      <c r="H9" s="59" t="n"/>
      <c r="I9" s="59" t="n"/>
    </row>
    <row r="10">
      <c r="C10" s="59" t="n"/>
      <c r="D10" s="59" t="n"/>
      <c r="E10" s="59" t="n"/>
      <c r="F10" s="59" t="n"/>
      <c r="G10" s="59" t="n"/>
      <c r="H10" s="59" t="n"/>
      <c r="I10" s="59" t="n"/>
    </row>
    <row r="11">
      <c r="C11" s="87" t="n"/>
      <c r="D11" s="87" t="n"/>
      <c r="E11" s="87" t="n"/>
      <c r="F11" s="87" t="n"/>
      <c r="G11" s="87" t="n"/>
      <c r="H11" s="87" t="n"/>
      <c r="I11" s="87" t="n"/>
    </row>
    <row r="12">
      <c r="A12" s="94" t="inlineStr">
        <is>
          <t>Заявка:</t>
        </is>
      </c>
      <c r="C12" s="127" t="n"/>
      <c r="D12" s="127" t="inlineStr">
        <is>
          <t>от</t>
        </is>
      </c>
      <c r="E12" s="60" t="n"/>
      <c r="F12" s="59" t="n"/>
      <c r="G12" s="59" t="n"/>
      <c r="H12" s="59" t="n"/>
      <c r="I12" s="59" t="n"/>
    </row>
    <row r="14">
      <c r="A14" s="94" t="inlineStr">
        <is>
          <t>Место проведения калибровки:</t>
        </is>
      </c>
      <c r="C14" s="127" t="inlineStr">
        <is>
          <t>БелГИМ, л.111</t>
        </is>
      </c>
    </row>
    <row r="16">
      <c r="A16" s="94" t="inlineStr">
        <is>
          <t xml:space="preserve">Дата калибровки: </t>
        </is>
      </c>
      <c r="C16" s="26" t="inlineStr">
        <is>
          <t xml:space="preserve">начало </t>
        </is>
      </c>
      <c r="D16" s="114" t="n">
        <v>44172</v>
      </c>
      <c r="E16" s="27" t="n"/>
      <c r="F16" s="24" t="inlineStr">
        <is>
          <t>окончание</t>
        </is>
      </c>
      <c r="G16" s="114">
        <f>D16</f>
        <v/>
      </c>
      <c r="I16" s="27" t="n"/>
    </row>
    <row r="17">
      <c r="A17" s="131" t="inlineStr">
        <is>
          <t>Дата выдачи свидетельства</t>
        </is>
      </c>
      <c r="D17" s="114" t="n">
        <v>44172</v>
      </c>
      <c r="E17" s="114" t="n"/>
    </row>
    <row r="18">
      <c r="A18" s="94" t="inlineStr">
        <is>
          <t>Методика калибровки:</t>
        </is>
      </c>
      <c r="C18" s="124" t="inlineStr">
        <is>
          <t>Метод непосредственной оценки / МРП МК 42 13.455-2016</t>
        </is>
      </c>
    </row>
    <row r="19">
      <c r="C19" s="124" t="n"/>
    </row>
    <row r="20">
      <c r="A20" s="126" t="inlineStr">
        <is>
          <t>Средства измерений, используемые при калибровке:</t>
        </is>
      </c>
    </row>
    <row r="21"/>
    <row r="23">
      <c r="A23" s="117" t="inlineStr">
        <is>
          <t>Наименование СИ, тип/модель/ Заводской номер</t>
        </is>
      </c>
      <c r="B23" s="118" t="n"/>
      <c r="C23" s="118" t="n"/>
      <c r="D23" s="118" t="n"/>
      <c r="E23" s="118" t="n"/>
      <c r="F23" s="118" t="n"/>
      <c r="G23" s="118" t="n"/>
      <c r="H23" s="118" t="n"/>
      <c r="I23" s="119" t="n"/>
    </row>
    <row r="24">
      <c r="A24" s="115" t="inlineStr">
        <is>
          <t>киловольтметр Vitrek 4700 №017755,</t>
        </is>
      </c>
      <c r="B24" s="115" t="n"/>
      <c r="C24" s="115" t="n"/>
      <c r="D24" s="115" t="n"/>
      <c r="E24" s="115" t="n"/>
      <c r="F24" s="118" t="n"/>
      <c r="G24" s="118" t="n"/>
      <c r="H24" s="118" t="n"/>
      <c r="I24" s="116" t="n"/>
    </row>
    <row r="25">
      <c r="A25" s="115" t="inlineStr">
        <is>
          <t>делитель HVL-100 №019598,</t>
        </is>
      </c>
      <c r="B25" s="115" t="n"/>
      <c r="C25" s="115" t="n"/>
      <c r="D25" s="115" t="n"/>
      <c r="E25" s="115" t="n"/>
      <c r="F25" s="118" t="n"/>
      <c r="G25" s="118" t="n"/>
      <c r="H25" s="118" t="n"/>
      <c r="I25" s="116" t="n"/>
    </row>
    <row r="26">
      <c r="A26" s="115" t="inlineStr">
        <is>
          <t>мультиметр Fluke 28II №29300096</t>
        </is>
      </c>
      <c r="B26" s="115" t="n"/>
      <c r="C26" s="115" t="n"/>
      <c r="D26" s="115" t="n"/>
      <c r="E26" s="115" t="n"/>
      <c r="F26" s="118" t="n"/>
      <c r="G26" s="118" t="n"/>
      <c r="H26" s="118" t="n"/>
      <c r="I26" s="116" t="n"/>
    </row>
    <row r="27">
      <c r="A27" s="115" t="n"/>
      <c r="B27" s="115" t="n"/>
      <c r="C27" s="115" t="n"/>
      <c r="D27" s="115" t="n"/>
      <c r="E27" s="115" t="n"/>
      <c r="F27" s="118" t="n"/>
      <c r="G27" s="118" t="n"/>
      <c r="H27" s="118" t="n"/>
      <c r="I27" s="116" t="n"/>
    </row>
    <row r="28">
      <c r="A28" s="115" t="n"/>
      <c r="B28" s="115" t="n"/>
      <c r="C28" s="115" t="n"/>
      <c r="D28" s="115" t="n"/>
      <c r="E28" s="115" t="n"/>
      <c r="F28" s="118" t="n"/>
      <c r="G28" s="118" t="n"/>
      <c r="H28" s="118" t="n"/>
      <c r="I28" s="116" t="n"/>
    </row>
    <row r="29">
      <c r="A29" s="115" t="n"/>
      <c r="B29" s="115" t="n"/>
      <c r="C29" s="115" t="n"/>
      <c r="D29" s="115" t="n"/>
      <c r="E29" s="115" t="n"/>
      <c r="F29" s="118" t="n"/>
      <c r="G29" s="118" t="n"/>
      <c r="H29" s="118" t="n"/>
      <c r="I29" s="116" t="n"/>
    </row>
    <row r="30">
      <c r="A30" s="94" t="inlineStr">
        <is>
          <t>Условия калибровки:</t>
        </is>
      </c>
      <c r="C30" s="27" t="inlineStr">
        <is>
          <t>смотреть приложение 1</t>
        </is>
      </c>
    </row>
    <row r="31">
      <c r="A31" s="24" t="inlineStr">
        <is>
          <t>Результаты калибровки:</t>
        </is>
      </c>
    </row>
    <row r="32">
      <c r="A32" s="24" t="n"/>
    </row>
    <row r="33">
      <c r="A33" s="24" t="inlineStr">
        <is>
          <t>1 Внешний осмотр:</t>
        </is>
      </c>
      <c r="C33" s="28" t="inlineStr">
        <is>
          <t>соответствует МК</t>
        </is>
      </c>
    </row>
    <row r="34">
      <c r="A34" s="24" t="n"/>
    </row>
    <row r="35">
      <c r="A35" s="24" t="inlineStr">
        <is>
          <t xml:space="preserve">2 Опробование: </t>
        </is>
      </c>
      <c r="C35" s="123" t="inlineStr">
        <is>
          <t>соответствует МК</t>
        </is>
      </c>
    </row>
    <row r="36">
      <c r="A36" s="24" t="n"/>
    </row>
    <row r="37">
      <c r="A37" s="24" t="inlineStr">
        <is>
          <t>3 Определение метрологических характеристик:</t>
        </is>
      </c>
    </row>
    <row r="38">
      <c r="A38" s="24" t="n"/>
    </row>
    <row r="39">
      <c r="A39" s="24" t="inlineStr">
        <is>
          <t>Результаты измерений:</t>
        </is>
      </c>
      <c r="C39" s="123" t="inlineStr">
        <is>
          <t>смотреть приложение 1</t>
        </is>
      </c>
    </row>
    <row r="40">
      <c r="A40" s="24" t="n"/>
    </row>
    <row r="41">
      <c r="A41" s="24" t="inlineStr">
        <is>
          <t>Полный результат измерения:</t>
        </is>
      </c>
      <c r="C41" s="123" t="inlineStr">
        <is>
          <t>смотреть приложение 2</t>
        </is>
      </c>
    </row>
    <row r="43">
      <c r="A43" s="94" t="inlineStr">
        <is>
          <t>Заключение:</t>
        </is>
      </c>
      <c r="C43" s="28" t="inlineStr">
        <is>
          <t>соответствует требованиям заказчика</t>
        </is>
      </c>
    </row>
    <row r="45">
      <c r="A45" s="94" t="inlineStr">
        <is>
          <t xml:space="preserve">Свидетельство о калибровке: </t>
        </is>
      </c>
      <c r="C45" s="127" t="inlineStr">
        <is>
          <t>BY 01 №</t>
        </is>
      </c>
      <c r="D45" s="61" t="n">
        <v>1096</v>
      </c>
      <c r="E45" s="28" t="n">
        <v>-42</v>
      </c>
    </row>
    <row r="47">
      <c r="A47" s="94" t="inlineStr">
        <is>
          <t>Калибровочное клеймо-наклейка:</t>
        </is>
      </c>
      <c r="D47" s="30" t="inlineStr">
        <is>
          <t>клеймо</t>
        </is>
      </c>
    </row>
    <row r="49">
      <c r="A49" s="132" t="inlineStr">
        <is>
          <t>Измерения прослеживаются к:</t>
        </is>
      </c>
    </row>
    <row r="50">
      <c r="A50" s="124" t="inlineStr">
        <is>
          <t xml:space="preserve">Национальному эталону единицы напряжения переменного тока в диапазоне частот  от 10 Гц до 2 ГГц № НЭ РБ 5-01, эквивалентность эталона подтверждена ключевыми сличениями  COOMET.EM-K6.a № 566/UA/12;
</t>
        </is>
      </c>
      <c r="K50" s="94" t="inlineStr">
        <is>
          <t>U~</t>
        </is>
      </c>
    </row>
    <row r="51">
      <c r="A51" s="124" t="inlineStr">
        <is>
          <t xml:space="preserve">Национальному эталону единицы напряжения - вольта №НЭ РБ 10-02, эквивалентность которого подтверждена ключевыми сличениями COOMET  №542/RU/11 (COOMET.EM.BIPM-K10b);
</t>
        </is>
      </c>
      <c r="K51" s="94" t="inlineStr">
        <is>
          <t>U=</t>
        </is>
      </c>
    </row>
    <row r="52">
      <c r="A52" s="124" t="inlineStr">
        <is>
          <t>Государственному первичному эталону единицы электрического сопротивления ГЭТ 14-2014, Россия</t>
        </is>
      </c>
      <c r="K52" s="94" t="inlineStr">
        <is>
          <t>R=~</t>
        </is>
      </c>
    </row>
    <row r="53">
      <c r="A53" s="124" t="inlineStr">
        <is>
          <t>Национальному эталону единицы напряжения переменного тока в диапазоне частот  от 10 Гц до 2 ГГц № НЭ РБ 5-01, Государственному первичному эталону единицы электрического сопротивления ГЭТ 14-2014 (Россия), эквивалентность  НЭ РБ 5-01 подтверждена ключевыми сличениями  COOMET.EM-K6.a № 566/UA/12;</t>
        </is>
      </c>
      <c r="K53" s="94" t="inlineStr">
        <is>
          <t>I~</t>
        </is>
      </c>
    </row>
    <row r="54">
      <c r="A54" s="124" t="inlineStr">
        <is>
          <t xml:space="preserve">Национальному эталону единицы напряжения – вольта № НЭ РБ 10-02,   Государственному первичному эталону единицы электрического сопротивления ГЭТ 14-2014 (Россия), эквивалентность НЭ РБ 10-02 подтверждена прямыми ключевыми сличениями COOMET  №542/RU/11 (COOMET.EM.BIPM-K10b);
</t>
        </is>
      </c>
      <c r="K54" s="94" t="inlineStr">
        <is>
          <t>I=</t>
        </is>
      </c>
    </row>
    <row r="55">
      <c r="A55" s="124" t="inlineStr">
        <is>
          <t xml:space="preserve">Государственному первичному специальному эталону РФ единицы электрического напряжения переменного тока промышленной частоты в диапазоне от 1 до 500 кВ ГЭТ 191-2011; </t>
        </is>
      </c>
      <c r="K55" s="94" t="inlineStr">
        <is>
          <t>U HV ~</t>
        </is>
      </c>
    </row>
    <row r="56">
      <c r="A56" s="124" t="inlineStr">
        <is>
          <t>Государственному первичному специальному эталону РФ единицы электрического напряжения постоянного тока – вольта в диапазоне ±(1…500) кВ ГЭТ 181-2010;</t>
        </is>
      </c>
      <c r="K56" s="94" t="inlineStr">
        <is>
          <t>U HV =</t>
        </is>
      </c>
    </row>
    <row r="57">
      <c r="A57" s="94" t="inlineStr">
        <is>
          <t>Национальному эталону единицы электрической мощности № НЭ РБ 14-04, эквивалентность которого подтверждена сличениями COOMET 695/UA-a/16 (COOMET.EM-K5);</t>
        </is>
      </c>
      <c r="K57" s="94" t="inlineStr">
        <is>
          <t>W~</t>
        </is>
      </c>
    </row>
    <row r="58">
      <c r="A58" s="94" t="inlineStr">
        <is>
          <t>Национальному эталону единицы электрической емкости №19-10,  эквивалентность которого подтверждена сличениями COOMET 345/UA/05 (COOMET.EM-S4);</t>
        </is>
      </c>
      <c r="K58" s="94" t="inlineStr">
        <is>
          <t>С</t>
        </is>
      </c>
    </row>
    <row r="60">
      <c r="A60" s="94" t="inlineStr">
        <is>
          <t>Калибровку провел:</t>
        </is>
      </c>
      <c r="D60" s="129" t="n"/>
      <c r="E60" s="137" t="n"/>
      <c r="G60" s="120" t="inlineStr">
        <is>
          <t>Инженер по метрологии 1к, А.Г. Валенда</t>
        </is>
      </c>
      <c r="H60" s="120" t="n"/>
    </row>
    <row customHeight="1" ht="11.25" r="61" s="73">
      <c r="D61" s="130" t="inlineStr">
        <is>
          <t>подпись</t>
        </is>
      </c>
      <c r="E61" s="138" t="n"/>
      <c r="F61" s="31" t="n"/>
      <c r="G61" s="128" t="inlineStr">
        <is>
          <t>ФИО</t>
        </is>
      </c>
    </row>
    <row r="75">
      <c r="A75" s="94" t="inlineStr">
        <is>
          <t>эталоны</t>
        </is>
      </c>
    </row>
    <row r="76">
      <c r="A76" s="124" t="inlineStr">
        <is>
          <t xml:space="preserve">Национальному эталону единицы напряжения переменного тока в диапазоне частот  от 10 Гц до 2 ГГц № НЭ РБ 5-01, эквивалентность эталона подтверждена ключевыми сличениями  COOMET.EM-K6.a № 566/UA/12;
</t>
        </is>
      </c>
    </row>
    <row r="77">
      <c r="A77" s="124" t="inlineStr">
        <is>
          <t xml:space="preserve">Национальному эталону единицы напряжения - вольта №НЭ РБ 10-02, эквивалентность которого подтверждена ключевыми сличениями COOMET  №542/RU/11 (COOMET.EM.BIPM-K10b);
</t>
        </is>
      </c>
    </row>
    <row r="78">
      <c r="A78" s="124" t="inlineStr">
        <is>
          <t>Государственному первичному эталону единицы электрического сопротивления ГЭТ 14-2014, Россия</t>
        </is>
      </c>
    </row>
    <row r="79">
      <c r="A79" s="124" t="inlineStr">
        <is>
          <t>Национальному эталону единицы напряжения переменного тока в диапазоне частот  от 10 Гц до 2 ГГц № НЭ РБ 5-01, Государственному первичному эталону единицы электрического сопротивления ГЭТ 14-2014 (Россия), эквивалентность  НЭ РБ 5-01 подтверждена ключевыми сличениями  COOMET.EM-K6.a № 566/UA/12;</t>
        </is>
      </c>
    </row>
    <row r="80">
      <c r="A80" s="124" t="inlineStr">
        <is>
          <t xml:space="preserve">Национальному эталону единицы напряжения – вольта № НЭ РБ 10-02,   Государственному первичному эталону единицы электрического сопротивления ГЭТ 14-2014 (Россия), эквивалентность НЭ РБ 10-02 подтверждена прямыми ключевыми сличениями COOMET  №542/RU/11 (COOMET.EM.BIPM-K10b);
</t>
        </is>
      </c>
    </row>
    <row r="81">
      <c r="A81" s="124" t="inlineStr">
        <is>
          <t xml:space="preserve">Государственному первичному специальному эталону РФ единицы электрического напряжения переменного тока промышленной частоты в диапазоне от 1 до 500 кВ ГЭТ 191-2011; </t>
        </is>
      </c>
    </row>
    <row r="82">
      <c r="A82" s="124" t="inlineStr">
        <is>
          <t>Государственному первичному специальному эталону РФ единицы электрического напряжения постоянного тока – вольта в диапазоне ±(1…500) кВ ГЭТ 181-2010;</t>
        </is>
      </c>
    </row>
    <row r="83">
      <c r="A83" s="94" t="inlineStr">
        <is>
          <t>Национальному эталону единицы электрической мощности № НЭ РБ 14-04, эквивалентность которого подтверждена сличениями COOMET 695/UA-a/16 (COOMET.EM-K5);</t>
        </is>
      </c>
    </row>
    <row r="84">
      <c r="A84" s="94" t="inlineStr">
        <is>
          <t>Национальному эталону единицы электрической емкости №19-10,  эквивалентность которого подтверждена сличениями COOMET 345/UA/05 (COOMET.EM-S4);</t>
        </is>
      </c>
    </row>
  </sheetData>
  <mergeCells count="8">
    <mergeCell ref="C1:E1"/>
    <mergeCell ref="A20:B21"/>
    <mergeCell ref="C14:I14"/>
    <mergeCell ref="G61:H61"/>
    <mergeCell ref="D60:E60"/>
    <mergeCell ref="D61:E61"/>
    <mergeCell ref="A17:B17"/>
    <mergeCell ref="A49:B49"/>
  </mergeCells>
  <pageMargins bottom="0.75" footer="0.3" header="0.3" left="0.7" right="0.7" top="1.020833333333333"/>
  <pageSetup horizontalDpi="4294967295" orientation="portrait" paperSize="9" scale="96" verticalDpi="4294967295"/>
  <headerFooter>
    <oddHeader>&amp;C&amp;"Segoe UI Light,полужирный"&amp;10 РЕСПУБЛИКАНСКОЕ УНИТАРНОЕ ПРЕДПРИЯТИЕ_x000a_«БЕЛОРУССКИЙ ГОСУДАРСТВЕННЫЙ ИНСТИТУТ МЕТРОЛОГИИ»_x000a_(БелГИМ)</oddHeader>
    <oddFooter>&amp;C&amp;"Segoe UI Light,курсив"&amp;8 Страница &amp;P из 5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Лист2">
    <outlinePr summaryBelow="1" summaryRight="1"/>
    <pageSetUpPr/>
  </sheetPr>
  <dimension ref="A1:X51"/>
  <sheetViews>
    <sheetView workbookViewId="0" zoomScale="85" zoomScaleNormal="85" zoomScalePageLayoutView="85" zoomScaleSheetLayoutView="55">
      <selection activeCell="B6" sqref="B6"/>
    </sheetView>
  </sheetViews>
  <sheetFormatPr baseColWidth="8" defaultRowHeight="15.75"/>
  <cols>
    <col bestFit="1" customWidth="1" max="1" min="1" style="73" width="16.875"/>
    <col bestFit="1" customWidth="1" max="2" min="2" style="69" width="10.5"/>
    <col bestFit="1" customWidth="1" max="3" min="3" style="73" width="10.5"/>
    <col bestFit="1" customWidth="1" max="4" min="4" style="73" width="9.75"/>
    <col bestFit="1" customWidth="1" max="6" min="5" style="73" width="10.5"/>
    <col customWidth="1" max="7" min="7" style="73" width="10.5"/>
    <col bestFit="1" customWidth="1" max="8" min="8" style="73" width="10.5"/>
    <col bestFit="1" customWidth="1" max="9" min="9" style="73" width="16.875"/>
    <col bestFit="1" customWidth="1" max="16" min="10" style="73" width="10.5"/>
    <col bestFit="1" customWidth="1" max="17" min="17" style="73" width="16.875"/>
    <col bestFit="1" customWidth="1" max="18" min="18" style="73" width="12.125"/>
    <col bestFit="1" customWidth="1" max="20" min="19" style="73" width="11.375"/>
    <col bestFit="1" customWidth="1" max="21" min="21" style="73" width="10.625"/>
    <col bestFit="1" customWidth="1" max="22" min="22" style="73" width="7.5"/>
    <col bestFit="1" customWidth="1" max="23" min="23" style="73" width="7.75"/>
  </cols>
  <sheetData>
    <row customHeight="1" ht="19.5" r="1" s="73">
      <c r="A1" s="133" t="inlineStr">
        <is>
          <t>ПРИЛОЖЕНИЕ 2 К ПРОТОКОЛУ КАЛИБРОВКИ №</t>
        </is>
      </c>
      <c r="E1" s="102">
        <f>Протокол!D45</f>
        <v/>
      </c>
      <c r="F1" s="79" t="n">
        <v>-42</v>
      </c>
    </row>
    <row r="2">
      <c r="A2" s="80" t="inlineStr">
        <is>
          <t>Калибруемая отметка</t>
        </is>
      </c>
      <c r="B2" s="70" t="n">
        <v>10</v>
      </c>
      <c r="C2" s="70" t="n">
        <v>15</v>
      </c>
      <c r="D2" s="70" t="n">
        <v>50</v>
      </c>
      <c r="E2" s="70" t="n">
        <v>10</v>
      </c>
      <c r="F2" s="70" t="n">
        <v>30</v>
      </c>
      <c r="G2" s="70" t="n">
        <v>50</v>
      </c>
      <c r="H2" s="70" t="n"/>
      <c r="I2" s="70" t="n"/>
      <c r="J2" s="70" t="n"/>
      <c r="K2" s="70" t="n"/>
      <c r="L2" s="70" t="n"/>
      <c r="M2" s="70" t="n"/>
      <c r="N2" s="70" t="n"/>
      <c r="O2" s="70" t="n"/>
      <c r="P2" s="70" t="n"/>
      <c r="Q2" s="70" t="n"/>
      <c r="R2" s="71" t="n"/>
      <c r="S2" s="71" t="n"/>
      <c r="T2" s="71" t="n"/>
      <c r="U2" s="71" t="n"/>
      <c r="V2" s="71" t="n"/>
      <c r="W2" s="71" t="n"/>
    </row>
    <row r="3">
      <c r="A3" s="80" t="inlineStr">
        <is>
          <t>Начальное сопротивление</t>
        </is>
      </c>
      <c r="B3" s="70" t="n">
        <v>0</v>
      </c>
      <c r="C3" s="70" t="n"/>
      <c r="D3" s="70" t="n"/>
      <c r="E3" s="70" t="n"/>
      <c r="F3" s="70" t="n"/>
      <c r="G3" s="70" t="n"/>
      <c r="H3" s="70" t="n"/>
      <c r="I3" s="70" t="n"/>
      <c r="J3" s="70" t="n"/>
      <c r="K3" s="70" t="n"/>
      <c r="L3" s="70" t="n"/>
      <c r="M3" s="70" t="n"/>
      <c r="N3" s="70" t="n"/>
      <c r="O3" s="70" t="n"/>
      <c r="P3" s="70" t="n"/>
      <c r="Q3" s="70" t="n"/>
      <c r="R3" s="71" t="n"/>
      <c r="S3" s="71" t="n"/>
      <c r="T3" s="71" t="n"/>
      <c r="U3" s="71" t="n"/>
      <c r="V3" s="71" t="n"/>
      <c r="W3" s="71" t="n"/>
    </row>
    <row r="4">
      <c r="A4" s="80" t="inlineStr">
        <is>
          <t>Единица измерения</t>
        </is>
      </c>
      <c r="B4" s="70" t="inlineStr">
        <is>
          <t>A</t>
        </is>
      </c>
      <c r="C4" s="70" t="n"/>
      <c r="D4" s="70" t="n"/>
      <c r="E4" s="70" t="n"/>
      <c r="F4" s="70" t="n"/>
      <c r="G4" s="70" t="n"/>
      <c r="H4" s="70" t="n"/>
      <c r="I4" s="70" t="n"/>
      <c r="J4" s="70" t="n"/>
      <c r="K4" s="70" t="n"/>
      <c r="L4" s="70" t="n"/>
      <c r="M4" s="70" t="n"/>
      <c r="N4" s="70" t="n"/>
      <c r="O4" s="70" t="n"/>
      <c r="P4" s="70" t="n"/>
      <c r="Q4" s="70" t="n"/>
      <c r="R4" s="71" t="n"/>
      <c r="S4" s="71" t="n"/>
      <c r="T4" s="71" t="n"/>
      <c r="U4" s="71" t="n"/>
      <c r="V4" s="71" t="n"/>
      <c r="W4" s="71" t="n"/>
    </row>
    <row r="5">
      <c r="A5" s="80" t="inlineStr">
        <is>
          <t>Диапазон</t>
        </is>
      </c>
      <c r="B5" s="70" t="n"/>
      <c r="C5" s="70" t="n"/>
      <c r="D5" s="70" t="n"/>
      <c r="E5" s="70" t="n"/>
      <c r="F5" s="70" t="n"/>
      <c r="G5" s="70" t="n"/>
      <c r="H5" s="70" t="n"/>
      <c r="I5" s="70" t="n"/>
      <c r="J5" s="70" t="n"/>
      <c r="K5" s="70" t="n"/>
      <c r="L5" s="70" t="n"/>
      <c r="M5" s="70" t="n"/>
      <c r="N5" s="70" t="n"/>
      <c r="O5" s="70" t="n"/>
      <c r="P5" s="70" t="n"/>
      <c r="Q5" s="70" t="n"/>
      <c r="R5" s="71" t="n"/>
      <c r="S5" s="71" t="n"/>
      <c r="T5" s="71" t="n"/>
      <c r="U5" s="71" t="n"/>
      <c r="V5" s="71" t="n"/>
      <c r="W5" s="71" t="n"/>
    </row>
    <row customHeight="1" ht="16.5" r="6" s="73" thickBot="1">
      <c r="A6" s="81" t="inlineStr">
        <is>
          <t>Род тока (пост./перем.)</t>
        </is>
      </c>
      <c r="B6" s="78" t="inlineStr">
        <is>
          <t>переменный</t>
        </is>
      </c>
      <c r="C6" s="78" t="inlineStr">
        <is>
          <t>переменный</t>
        </is>
      </c>
      <c r="D6" s="78" t="inlineStr">
        <is>
          <t>переменный</t>
        </is>
      </c>
      <c r="E6" s="78" t="inlineStr">
        <is>
          <t>постоянный</t>
        </is>
      </c>
      <c r="F6" s="78" t="inlineStr">
        <is>
          <t>постоянный</t>
        </is>
      </c>
      <c r="G6" s="78" t="inlineStr">
        <is>
          <t>постоянный</t>
        </is>
      </c>
      <c r="H6" s="78" t="n"/>
      <c r="I6" s="78" t="n"/>
      <c r="J6" s="78" t="n"/>
      <c r="K6" s="78" t="n"/>
      <c r="L6" s="78" t="n"/>
      <c r="M6" s="78" t="n"/>
      <c r="N6" s="78" t="n"/>
      <c r="O6" s="78" t="n"/>
      <c r="P6" s="78" t="n"/>
      <c r="Q6" s="78" t="n"/>
      <c r="R6" s="71" t="n"/>
      <c r="S6" s="71" t="n"/>
      <c r="T6" s="71" t="n"/>
      <c r="U6" s="71" t="n"/>
      <c r="V6" s="71" t="n"/>
      <c r="W6" s="71" t="n"/>
    </row>
    <row r="7">
      <c r="A7" s="82" t="inlineStr">
        <is>
          <t>Дата</t>
        </is>
      </c>
      <c r="B7" s="96">
        <f>Протокол!$D$16</f>
        <v/>
      </c>
      <c r="C7" s="96" t="n"/>
      <c r="D7" s="96" t="n"/>
      <c r="E7" s="96" t="n"/>
      <c r="F7" s="96" t="n"/>
      <c r="G7" s="96" t="n"/>
      <c r="H7" s="96" t="n"/>
      <c r="I7" s="96" t="n"/>
      <c r="J7" s="96" t="n"/>
      <c r="K7" s="96" t="n"/>
      <c r="L7" s="96" t="n"/>
      <c r="M7" s="96" t="n"/>
      <c r="N7" s="96" t="n"/>
      <c r="O7" s="96" t="n"/>
      <c r="P7" s="96" t="n"/>
      <c r="Q7" s="96" t="n"/>
      <c r="R7" s="42" t="n"/>
      <c r="S7" s="42" t="n"/>
      <c r="T7" s="42" t="n"/>
      <c r="U7" s="42" t="n"/>
      <c r="V7" s="42" t="n"/>
      <c r="W7" s="42" t="n"/>
    </row>
    <row r="8">
      <c r="A8" s="80" t="inlineStr">
        <is>
          <t>Оператор</t>
        </is>
      </c>
      <c r="B8" s="70" t="inlineStr">
        <is>
          <t>Валенда</t>
        </is>
      </c>
      <c r="C8" s="70" t="n"/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1" t="n"/>
      <c r="S8" s="71" t="n"/>
      <c r="T8" s="71" t="n"/>
      <c r="U8" s="71" t="n"/>
      <c r="V8" s="71" t="n"/>
      <c r="W8" s="71" t="n"/>
    </row>
    <row r="9">
      <c r="A9" s="80" t="inlineStr">
        <is>
          <t>Температура окр. возд., °С</t>
        </is>
      </c>
      <c r="B9" s="70" t="n">
        <v>22.4</v>
      </c>
      <c r="C9" s="70" t="n"/>
      <c r="D9" s="70" t="n"/>
      <c r="E9" s="70" t="n"/>
      <c r="F9" s="70" t="n"/>
      <c r="G9" s="70" t="n"/>
      <c r="H9" s="70" t="n"/>
      <c r="I9" s="70" t="n"/>
      <c r="J9" s="70" t="n"/>
      <c r="K9" s="70" t="n"/>
      <c r="L9" s="70" t="n"/>
      <c r="M9" s="70" t="n"/>
      <c r="N9" s="70" t="n"/>
      <c r="O9" s="70" t="n"/>
      <c r="P9" s="70" t="n"/>
      <c r="Q9" s="70" t="n"/>
      <c r="R9" s="71" t="n"/>
      <c r="S9" s="71" t="n"/>
      <c r="T9" s="71" t="n"/>
      <c r="U9" s="71" t="n"/>
      <c r="V9" s="71" t="n"/>
      <c r="W9" s="71" t="n"/>
    </row>
    <row r="10">
      <c r="A10" s="80" t="inlineStr">
        <is>
          <t>Отн. Влажность воздуха, %</t>
        </is>
      </c>
      <c r="B10" s="70" t="n">
        <v>38.4</v>
      </c>
      <c r="C10" s="70" t="n"/>
      <c r="D10" s="70" t="n"/>
      <c r="E10" s="70" t="n"/>
      <c r="F10" s="70" t="n"/>
      <c r="G10" s="70" t="n"/>
      <c r="H10" s="70" t="n"/>
      <c r="I10" s="70" t="n"/>
      <c r="J10" s="70" t="n"/>
      <c r="K10" s="70" t="n"/>
      <c r="L10" s="70" t="n"/>
      <c r="M10" s="70" t="n"/>
      <c r="N10" s="70" t="n"/>
      <c r="O10" s="70" t="n"/>
      <c r="P10" s="70" t="n"/>
      <c r="Q10" s="70" t="n"/>
      <c r="R10" s="71" t="n"/>
      <c r="S10" s="71" t="n"/>
      <c r="T10" s="71" t="n"/>
      <c r="U10" s="71" t="n"/>
      <c r="V10" s="71" t="n"/>
      <c r="W10" s="71" t="n"/>
    </row>
    <row r="11">
      <c r="A11" s="80" t="inlineStr">
        <is>
          <t>Атм. Давление, кПа</t>
        </is>
      </c>
      <c r="B11" s="70" t="n">
        <v>102.9</v>
      </c>
      <c r="C11" s="70" t="n"/>
      <c r="D11" s="70" t="n"/>
      <c r="E11" s="70" t="n"/>
      <c r="F11" s="70" t="n"/>
      <c r="G11" s="70" t="n"/>
      <c r="H11" s="70" t="n"/>
      <c r="I11" s="70" t="n"/>
      <c r="J11" s="70" t="n"/>
      <c r="K11" s="70" t="n"/>
      <c r="L11" s="70" t="n"/>
      <c r="M11" s="70" t="n"/>
      <c r="N11" s="70" t="n"/>
      <c r="O11" s="70" t="n"/>
      <c r="P11" s="70" t="n"/>
      <c r="Q11" s="70" t="n"/>
      <c r="R11" s="71" t="n"/>
      <c r="S11" s="71" t="n"/>
      <c r="T11" s="71" t="n"/>
      <c r="U11" s="71" t="n"/>
      <c r="V11" s="71" t="n"/>
      <c r="W11" s="71" t="n"/>
    </row>
    <row customHeight="1" ht="16.5" r="12" s="73" thickBot="1">
      <c r="A12" s="81" t="inlineStr">
        <is>
          <t>Метод</t>
        </is>
      </c>
      <c r="B12" s="81" t="n"/>
      <c r="C12" s="81" t="n"/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94" t="n"/>
      <c r="S12" s="94" t="n"/>
      <c r="T12" s="94" t="n"/>
      <c r="U12" s="94" t="n"/>
      <c r="V12" s="94" t="n"/>
      <c r="W12" s="94" t="n"/>
    </row>
    <row r="13" s="73">
      <c r="A13" s="103" t="n">
        <v>1</v>
      </c>
      <c r="B13" s="70" t="n">
        <v>10.212</v>
      </c>
      <c r="C13" s="70" t="n">
        <v>10.263</v>
      </c>
      <c r="D13" s="70" t="n">
        <v>10.056</v>
      </c>
      <c r="E13" s="70" t="n">
        <v>10.212</v>
      </c>
      <c r="F13" s="70" t="n">
        <v>10.152</v>
      </c>
      <c r="G13" s="70" t="n">
        <v>10.056</v>
      </c>
      <c r="H13" s="70" t="n"/>
      <c r="I13" s="70" t="n"/>
      <c r="J13" s="70" t="n"/>
      <c r="K13" s="70" t="n"/>
      <c r="L13" s="70" t="n"/>
      <c r="M13" s="70" t="n"/>
      <c r="N13" s="70" t="n"/>
      <c r="O13" s="70" t="n"/>
      <c r="P13" s="70" t="n"/>
      <c r="Q13" s="70" t="n"/>
      <c r="R13" s="71" t="n"/>
      <c r="S13" s="71" t="n"/>
      <c r="T13" s="71" t="n"/>
      <c r="U13" s="71" t="n"/>
      <c r="V13" s="71" t="n"/>
      <c r="W13" s="71" t="n"/>
    </row>
    <row r="14" s="73">
      <c r="A14" s="103" t="n">
        <v>2</v>
      </c>
      <c r="B14" s="70" t="n">
        <v>10.196</v>
      </c>
      <c r="C14" s="70" t="n">
        <v>10.196</v>
      </c>
      <c r="D14" s="70" t="n">
        <v>10.004</v>
      </c>
      <c r="E14" s="70" t="n">
        <v>10.055</v>
      </c>
      <c r="F14" s="70" t="n">
        <v>10.165</v>
      </c>
      <c r="G14" s="70" t="n">
        <v>10.035</v>
      </c>
      <c r="H14" s="70" t="n"/>
      <c r="I14" s="70" t="n"/>
      <c r="J14" s="70" t="n"/>
      <c r="K14" s="70" t="n"/>
      <c r="L14" s="70" t="n"/>
      <c r="M14" s="70" t="n"/>
      <c r="N14" s="70" t="n"/>
      <c r="O14" s="70" t="n"/>
      <c r="P14" s="70" t="n"/>
      <c r="Q14" s="70" t="n"/>
      <c r="R14" s="71" t="n"/>
      <c r="S14" s="71" t="n"/>
      <c r="T14" s="71" t="n"/>
      <c r="U14" s="71" t="n"/>
      <c r="V14" s="71" t="n"/>
      <c r="W14" s="71" t="n"/>
    </row>
    <row r="15" s="73">
      <c r="A15" s="103" t="n">
        <v>3</v>
      </c>
      <c r="B15" s="70" t="n">
        <v>10.055</v>
      </c>
      <c r="C15" s="70" t="n">
        <v>10.08</v>
      </c>
      <c r="D15" s="70" t="n">
        <v>10.02</v>
      </c>
      <c r="E15" s="70" t="n">
        <v>10.018</v>
      </c>
      <c r="F15" s="70" t="n">
        <v>10.002</v>
      </c>
      <c r="G15" s="70" t="n">
        <v>10.062</v>
      </c>
      <c r="H15" s="70" t="n"/>
      <c r="I15" s="70" t="n"/>
      <c r="J15" s="70" t="n"/>
      <c r="K15" s="70" t="n"/>
      <c r="L15" s="70" t="n"/>
      <c r="M15" s="70" t="n"/>
      <c r="N15" s="70" t="n"/>
      <c r="O15" s="70" t="n"/>
      <c r="P15" s="70" t="n"/>
      <c r="Q15" s="70" t="n"/>
      <c r="R15" s="71" t="n"/>
      <c r="S15" s="71" t="n"/>
      <c r="T15" s="71" t="n"/>
      <c r="U15" s="71" t="n"/>
      <c r="V15" s="71" t="n"/>
      <c r="W15" s="71" t="n"/>
    </row>
    <row r="16" s="73">
      <c r="A16" s="103" t="n">
        <v>4</v>
      </c>
      <c r="B16" s="70" t="n">
        <v>10.143</v>
      </c>
      <c r="C16" s="70" t="n">
        <v>10.268</v>
      </c>
      <c r="D16" s="70" t="n">
        <v>10.179</v>
      </c>
      <c r="E16" s="70" t="n">
        <v>10.014</v>
      </c>
      <c r="F16" s="70" t="n">
        <v>10.246</v>
      </c>
      <c r="G16" s="70" t="n">
        <v>10.283</v>
      </c>
      <c r="H16" s="70" t="n"/>
      <c r="I16" s="70" t="n"/>
      <c r="J16" s="70" t="n"/>
      <c r="K16" s="70" t="n"/>
      <c r="L16" s="70" t="n"/>
      <c r="M16" s="70" t="n"/>
      <c r="N16" s="70" t="n"/>
      <c r="O16" s="70" t="n"/>
      <c r="P16" s="70" t="n"/>
      <c r="Q16" s="70" t="n"/>
      <c r="R16" s="71" t="n"/>
      <c r="S16" s="71" t="n"/>
      <c r="T16" s="71" t="n"/>
      <c r="U16" s="71" t="n"/>
      <c r="V16" s="71" t="n"/>
      <c r="W16" s="71" t="n"/>
    </row>
    <row r="17" s="73">
      <c r="A17" s="103" t="n">
        <v>5</v>
      </c>
      <c r="B17" s="70" t="n">
        <v>10.023</v>
      </c>
      <c r="C17" s="70" t="n">
        <v>10.045</v>
      </c>
      <c r="D17" s="70" t="n">
        <v>10.176</v>
      </c>
      <c r="E17" s="70" t="n">
        <v>10.221</v>
      </c>
      <c r="F17" s="70" t="n">
        <v>10.188</v>
      </c>
      <c r="G17" s="70" t="n">
        <v>10.217</v>
      </c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1" t="n"/>
      <c r="S17" s="71" t="n"/>
      <c r="T17" s="71" t="n"/>
      <c r="U17" s="71" t="n"/>
      <c r="V17" s="71" t="n"/>
      <c r="W17" s="71" t="n"/>
    </row>
    <row r="18" s="73">
      <c r="A18" s="103" t="n">
        <v>6</v>
      </c>
      <c r="B18" s="70" t="n">
        <v>10.215</v>
      </c>
      <c r="C18" s="70" t="n">
        <v>10.104</v>
      </c>
      <c r="D18" s="70" t="n">
        <v>10.251</v>
      </c>
      <c r="E18" s="70" t="n">
        <v>10.089</v>
      </c>
      <c r="F18" s="70" t="n">
        <v>10.108</v>
      </c>
      <c r="G18" s="70" t="n">
        <v>10.248</v>
      </c>
      <c r="H18" s="70" t="n"/>
      <c r="I18" s="70" t="n"/>
      <c r="J18" s="70" t="n"/>
      <c r="K18" s="70" t="n"/>
      <c r="L18" s="70" t="n"/>
      <c r="M18" s="70" t="n"/>
      <c r="N18" s="70" t="n"/>
      <c r="O18" s="70" t="n"/>
      <c r="P18" s="70" t="n"/>
      <c r="Q18" s="70" t="n"/>
      <c r="R18" s="71" t="n"/>
      <c r="S18" s="71" t="n"/>
      <c r="T18" s="71" t="n"/>
      <c r="U18" s="71" t="n"/>
      <c r="V18" s="71" t="n"/>
      <c r="W18" s="71" t="n"/>
    </row>
    <row r="19" s="73">
      <c r="A19" s="103" t="n">
        <v>7</v>
      </c>
      <c r="B19" s="70" t="n">
        <v>10.081</v>
      </c>
      <c r="C19" s="70" t="n">
        <v>10.06</v>
      </c>
      <c r="D19" s="70" t="n">
        <v>10.188</v>
      </c>
      <c r="E19" s="70" t="n">
        <v>10.294</v>
      </c>
      <c r="F19" s="70" t="n">
        <v>10.003</v>
      </c>
      <c r="G19" s="70" t="n">
        <v>10.027</v>
      </c>
      <c r="H19" s="70" t="n"/>
      <c r="I19" s="70" t="n"/>
      <c r="J19" s="70" t="n"/>
      <c r="K19" s="70" t="n"/>
      <c r="L19" s="70" t="n"/>
      <c r="M19" s="70" t="n"/>
      <c r="N19" s="70" t="n"/>
      <c r="O19" s="70" t="n"/>
      <c r="P19" s="70" t="n"/>
      <c r="Q19" s="70" t="n"/>
      <c r="R19" s="71" t="n"/>
      <c r="S19" s="71" t="n"/>
      <c r="T19" s="71" t="n"/>
      <c r="U19" s="71" t="n"/>
      <c r="V19" s="71" t="n"/>
      <c r="W19" s="71" t="n"/>
    </row>
    <row r="20" s="73">
      <c r="A20" s="103" t="n">
        <v>8</v>
      </c>
      <c r="B20" s="70" t="n">
        <v>10.298</v>
      </c>
      <c r="C20" s="70" t="n">
        <v>10.115</v>
      </c>
      <c r="D20" s="70" t="n">
        <v>10.123</v>
      </c>
      <c r="E20" s="70" t="n">
        <v>10.085</v>
      </c>
      <c r="F20" s="70" t="n">
        <v>10.07</v>
      </c>
      <c r="G20" s="70" t="n">
        <v>10.056</v>
      </c>
      <c r="H20" s="70" t="n"/>
      <c r="I20" s="70" t="n"/>
      <c r="J20" s="70" t="n"/>
      <c r="K20" s="70" t="n"/>
      <c r="L20" s="70" t="n"/>
      <c r="M20" s="70" t="n"/>
      <c r="N20" s="70" t="n"/>
      <c r="O20" s="70" t="n"/>
      <c r="P20" s="70" t="n"/>
      <c r="Q20" s="70" t="n"/>
      <c r="R20" s="71" t="n"/>
      <c r="S20" s="71" t="n"/>
      <c r="T20" s="71" t="n"/>
      <c r="U20" s="71" t="n"/>
      <c r="V20" s="71" t="n"/>
      <c r="W20" s="71" t="n"/>
    </row>
    <row r="21" s="73">
      <c r="A21" s="103" t="n">
        <v>9</v>
      </c>
      <c r="B21" s="70" t="n">
        <v>10.106</v>
      </c>
      <c r="C21" s="70" t="n">
        <v>10.047</v>
      </c>
      <c r="D21" s="70" t="n">
        <v>10.243</v>
      </c>
      <c r="E21" s="70" t="n">
        <v>10.102</v>
      </c>
      <c r="F21" s="70" t="n">
        <v>10.114</v>
      </c>
      <c r="G21" s="70" t="n">
        <v>10.03</v>
      </c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1" t="n"/>
      <c r="S21" s="71" t="n"/>
      <c r="T21" s="71" t="n"/>
      <c r="U21" s="71" t="n"/>
      <c r="V21" s="71" t="n"/>
      <c r="W21" s="71" t="n"/>
    </row>
    <row r="22" s="73">
      <c r="A22" s="103" t="n">
        <v>10</v>
      </c>
      <c r="B22" s="70" t="n">
        <v>10.186</v>
      </c>
      <c r="C22" s="70" t="n">
        <v>10.033</v>
      </c>
      <c r="D22" s="70" t="n">
        <v>10.035</v>
      </c>
      <c r="E22" s="70" t="n">
        <v>10</v>
      </c>
      <c r="F22" s="70" t="n">
        <v>10.278</v>
      </c>
      <c r="G22" s="70" t="n">
        <v>10.19</v>
      </c>
      <c r="H22" s="70" t="n"/>
      <c r="I22" s="70" t="n"/>
      <c r="J22" s="70" t="n"/>
      <c r="K22" s="70" t="n"/>
      <c r="L22" s="70" t="n"/>
      <c r="M22" s="70" t="n"/>
      <c r="N22" s="70" t="n"/>
      <c r="O22" s="70" t="n"/>
      <c r="P22" s="70" t="n"/>
      <c r="Q22" s="70" t="n"/>
      <c r="R22" s="71" t="n"/>
      <c r="S22" s="71" t="n"/>
      <c r="T22" s="71" t="n"/>
      <c r="U22" s="71" t="n"/>
      <c r="V22" s="71" t="n"/>
      <c r="W22" s="71" t="n"/>
    </row>
    <row r="23" s="73">
      <c r="A23" s="74" t="n">
        <v>11</v>
      </c>
      <c r="B23" s="70" t="n"/>
      <c r="C23" s="70" t="n"/>
      <c r="D23" s="70" t="n"/>
      <c r="E23" s="70" t="n"/>
      <c r="F23" s="70" t="n"/>
      <c r="G23" s="70" t="n"/>
      <c r="H23" s="70" t="n"/>
      <c r="I23" s="70" t="n"/>
      <c r="J23" s="70" t="n"/>
      <c r="K23" s="70" t="n"/>
      <c r="L23" s="70" t="n"/>
      <c r="M23" s="70" t="n"/>
      <c r="N23" s="70" t="n"/>
      <c r="O23" s="70" t="n"/>
      <c r="P23" s="70" t="n"/>
      <c r="Q23" s="70" t="n"/>
      <c r="R23" s="71" t="n"/>
      <c r="S23" s="71" t="n"/>
      <c r="T23" s="71" t="n"/>
      <c r="U23" s="71" t="n"/>
      <c r="V23" s="71" t="n"/>
      <c r="W23" s="71" t="n"/>
    </row>
    <row r="24" s="73">
      <c r="A24" s="74" t="n">
        <v>12</v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71" t="n"/>
      <c r="S24" s="71" t="n"/>
      <c r="T24" s="71" t="n"/>
      <c r="U24" s="71" t="n"/>
      <c r="V24" s="71" t="n"/>
      <c r="W24" s="71" t="n"/>
    </row>
    <row r="25" s="73">
      <c r="A25" s="74" t="n">
        <v>13</v>
      </c>
      <c r="B25" s="70" t="n"/>
      <c r="C25" s="70" t="n"/>
      <c r="D25" s="70" t="n"/>
      <c r="E25" s="70" t="n"/>
      <c r="F25" s="70" t="n"/>
      <c r="G25" s="70" t="n"/>
      <c r="H25" s="70" t="n"/>
      <c r="I25" s="70" t="n"/>
      <c r="J25" s="70" t="n"/>
      <c r="K25" s="70" t="n"/>
      <c r="L25" s="70" t="n"/>
      <c r="M25" s="70" t="n"/>
      <c r="N25" s="70" t="n"/>
      <c r="O25" s="70" t="n"/>
      <c r="P25" s="70" t="n"/>
      <c r="Q25" s="70" t="n"/>
      <c r="R25" s="71" t="n"/>
      <c r="S25" s="71" t="n"/>
      <c r="T25" s="71" t="n"/>
      <c r="U25" s="71" t="n"/>
      <c r="V25" s="71" t="n"/>
      <c r="W25" s="71" t="n"/>
    </row>
    <row r="26" s="73">
      <c r="A26" s="74" t="n">
        <v>14</v>
      </c>
      <c r="B26" s="70" t="n"/>
      <c r="C26" s="70" t="n"/>
      <c r="D26" s="70" t="n"/>
      <c r="E26" s="70" t="n"/>
      <c r="F26" s="70" t="n"/>
      <c r="G26" s="70" t="n"/>
      <c r="H26" s="70" t="n"/>
      <c r="I26" s="70" t="n"/>
      <c r="J26" s="70" t="n"/>
      <c r="K26" s="70" t="n"/>
      <c r="L26" s="70" t="n"/>
      <c r="M26" s="70" t="n"/>
      <c r="N26" s="70" t="n"/>
      <c r="O26" s="70" t="n"/>
      <c r="P26" s="70" t="n"/>
      <c r="Q26" s="70" t="n"/>
      <c r="R26" s="71" t="n"/>
      <c r="S26" s="71" t="n"/>
      <c r="T26" s="71" t="n"/>
      <c r="U26" s="71" t="n"/>
      <c r="V26" s="71" t="n"/>
      <c r="W26" s="71" t="n"/>
    </row>
    <row r="27" s="73">
      <c r="A27" s="74" t="n">
        <v>15</v>
      </c>
      <c r="B27" s="70" t="n"/>
      <c r="C27" s="70" t="n"/>
      <c r="D27" s="70" t="n"/>
      <c r="E27" s="70" t="n"/>
      <c r="F27" s="70" t="n"/>
      <c r="G27" s="70" t="n"/>
      <c r="H27" s="70" t="n"/>
      <c r="I27" s="70" t="n"/>
      <c r="J27" s="70" t="n"/>
      <c r="K27" s="70" t="n"/>
      <c r="L27" s="70" t="n"/>
      <c r="M27" s="70" t="n"/>
      <c r="N27" s="70" t="n"/>
      <c r="O27" s="70" t="n"/>
      <c r="P27" s="70" t="n"/>
      <c r="Q27" s="70" t="n"/>
      <c r="R27" s="71" t="n"/>
      <c r="S27" s="71" t="n"/>
      <c r="T27" s="71" t="n"/>
      <c r="U27" s="71" t="n"/>
      <c r="V27" s="71" t="n"/>
      <c r="W27" s="71" t="n"/>
    </row>
    <row r="28" s="73">
      <c r="A28" s="74" t="n">
        <v>16</v>
      </c>
      <c r="B28" s="70" t="n"/>
      <c r="C28" s="70" t="n"/>
      <c r="D28" s="70" t="n"/>
      <c r="E28" s="70" t="n"/>
      <c r="F28" s="70" t="n"/>
      <c r="G28" s="70" t="n"/>
      <c r="H28" s="70" t="n"/>
      <c r="I28" s="70" t="n"/>
      <c r="J28" s="70" t="n"/>
      <c r="K28" s="70" t="n"/>
      <c r="L28" s="70" t="n"/>
      <c r="M28" s="70" t="n"/>
      <c r="N28" s="70" t="n"/>
      <c r="O28" s="70" t="n"/>
      <c r="P28" s="70" t="n"/>
      <c r="Q28" s="70" t="n"/>
      <c r="R28" s="71" t="n"/>
      <c r="S28" s="71" t="n"/>
      <c r="T28" s="71" t="n"/>
      <c r="U28" s="71" t="n"/>
      <c r="V28" s="71" t="n"/>
      <c r="W28" s="71" t="n"/>
    </row>
    <row r="29" s="73">
      <c r="A29" s="74" t="n">
        <v>17</v>
      </c>
      <c r="B29" s="70" t="n"/>
      <c r="C29" s="70" t="n"/>
      <c r="D29" s="70" t="n"/>
      <c r="E29" s="70" t="n"/>
      <c r="F29" s="70" t="n"/>
      <c r="G29" s="70" t="n"/>
      <c r="H29" s="70" t="n"/>
      <c r="I29" s="70" t="n"/>
      <c r="J29" s="70" t="n"/>
      <c r="K29" s="70" t="n"/>
      <c r="L29" s="70" t="n"/>
      <c r="M29" s="70" t="n"/>
      <c r="N29" s="70" t="n"/>
      <c r="O29" s="70" t="n"/>
      <c r="P29" s="70" t="n"/>
      <c r="Q29" s="70" t="n"/>
      <c r="R29" s="71" t="n"/>
      <c r="S29" s="71" t="n"/>
      <c r="T29" s="71" t="n"/>
      <c r="U29" s="71" t="n"/>
      <c r="V29" s="71" t="n"/>
      <c r="W29" s="71" t="n"/>
    </row>
    <row r="30" s="73">
      <c r="A30" s="74" t="n">
        <v>18</v>
      </c>
      <c r="B30" s="70" t="n"/>
      <c r="C30" s="70" t="n"/>
      <c r="D30" s="70" t="n"/>
      <c r="E30" s="70" t="n"/>
      <c r="F30" s="70" t="n"/>
      <c r="G30" s="70" t="n"/>
      <c r="H30" s="70" t="n"/>
      <c r="I30" s="70" t="n"/>
      <c r="J30" s="70" t="n"/>
      <c r="K30" s="70" t="n"/>
      <c r="L30" s="70" t="n"/>
      <c r="M30" s="70" t="n"/>
      <c r="N30" s="70" t="n"/>
      <c r="O30" s="70" t="n"/>
      <c r="P30" s="70" t="n"/>
      <c r="Q30" s="70" t="n"/>
      <c r="R30" s="71" t="n"/>
      <c r="S30" s="71" t="n"/>
      <c r="T30" s="71" t="n"/>
      <c r="U30" s="71" t="n"/>
      <c r="V30" s="71" t="n"/>
      <c r="W30" s="71" t="n"/>
    </row>
    <row r="31" s="73">
      <c r="A31" s="74" t="n">
        <v>19</v>
      </c>
      <c r="B31" s="70" t="n"/>
      <c r="C31" s="70" t="n"/>
      <c r="D31" s="70" t="n"/>
      <c r="E31" s="70" t="n"/>
      <c r="F31" s="70" t="n"/>
      <c r="G31" s="70" t="n"/>
      <c r="H31" s="70" t="n"/>
      <c r="I31" s="70" t="n"/>
      <c r="J31" s="70" t="n"/>
      <c r="K31" s="70" t="n"/>
      <c r="L31" s="70" t="n"/>
      <c r="M31" s="70" t="n"/>
      <c r="N31" s="70" t="n"/>
      <c r="O31" s="70" t="n"/>
      <c r="P31" s="70" t="n"/>
      <c r="Q31" s="70" t="n"/>
      <c r="R31" s="71" t="n"/>
      <c r="S31" s="71" t="n"/>
      <c r="T31" s="71" t="n"/>
      <c r="U31" s="71" t="n"/>
      <c r="V31" s="71" t="n"/>
      <c r="W31" s="71" t="n"/>
    </row>
    <row r="32" s="73">
      <c r="A32" s="74" t="n">
        <v>20</v>
      </c>
      <c r="B32" s="70" t="n"/>
      <c r="C32" s="70" t="n"/>
      <c r="D32" s="70" t="n"/>
      <c r="E32" s="70" t="n"/>
      <c r="F32" s="70" t="n"/>
      <c r="G32" s="70" t="n"/>
      <c r="H32" s="70" t="n"/>
      <c r="I32" s="70" t="n"/>
      <c r="J32" s="70" t="n"/>
      <c r="K32" s="70" t="n"/>
      <c r="L32" s="70" t="n"/>
      <c r="M32" s="70" t="n"/>
      <c r="N32" s="70" t="n"/>
      <c r="O32" s="70" t="n"/>
      <c r="P32" s="70" t="n"/>
      <c r="Q32" s="70" t="n"/>
      <c r="R32" s="71" t="n"/>
      <c r="S32" s="71" t="n"/>
      <c r="T32" s="71" t="n"/>
      <c r="U32" s="71" t="n"/>
      <c r="V32" s="71" t="n"/>
      <c r="W32" s="71" t="n"/>
    </row>
    <row r="33" s="73">
      <c r="A33" s="74" t="n">
        <v>21</v>
      </c>
      <c r="B33" s="70" t="n"/>
      <c r="C33" s="70" t="n"/>
      <c r="D33" s="70" t="n"/>
      <c r="E33" s="70" t="n"/>
      <c r="F33" s="70" t="n"/>
      <c r="G33" s="70" t="n"/>
      <c r="H33" s="70" t="n"/>
      <c r="I33" s="70" t="n"/>
      <c r="J33" s="70" t="n"/>
      <c r="K33" s="70" t="n"/>
      <c r="L33" s="70" t="n"/>
      <c r="M33" s="70" t="n"/>
      <c r="N33" s="70" t="n"/>
      <c r="O33" s="70" t="n"/>
      <c r="P33" s="70" t="n"/>
      <c r="Q33" s="70" t="n"/>
      <c r="R33" s="71" t="n"/>
      <c r="S33" s="71" t="n"/>
      <c r="T33" s="71" t="n"/>
      <c r="U33" s="71" t="n"/>
      <c r="V33" s="71" t="n"/>
      <c r="W33" s="71" t="n"/>
    </row>
    <row customHeight="1" ht="16.5" r="34" s="73" thickBot="1">
      <c r="A34" s="77" t="n">
        <v>22</v>
      </c>
      <c r="B34" s="78" t="n"/>
      <c r="C34" s="78" t="n"/>
      <c r="D34" s="78" t="n"/>
      <c r="E34" s="78" t="n"/>
      <c r="F34" s="78" t="n"/>
      <c r="G34" s="78" t="n"/>
      <c r="H34" s="78" t="n"/>
      <c r="I34" s="78" t="n"/>
      <c r="J34" s="78" t="n"/>
      <c r="K34" s="78" t="n"/>
      <c r="L34" s="78" t="n"/>
      <c r="M34" s="78" t="n"/>
      <c r="N34" s="78" t="n"/>
      <c r="O34" s="78" t="n"/>
      <c r="P34" s="78" t="n"/>
      <c r="Q34" s="78" t="n"/>
      <c r="R34" s="71" t="n"/>
      <c r="S34" s="71" t="n"/>
      <c r="T34" s="71" t="n"/>
      <c r="U34" s="71" t="n"/>
      <c r="V34" s="71" t="n"/>
      <c r="W34" s="71" t="n"/>
    </row>
    <row r="35">
      <c r="A35" s="82" t="inlineStr">
        <is>
          <t>Количество измерений</t>
        </is>
      </c>
      <c r="B35" s="75">
        <f>IF(B13="","",COUNTIF(B13:B34,"&lt;&gt;"))</f>
        <v/>
      </c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1" t="n"/>
      <c r="S35" s="71" t="n"/>
      <c r="T35" s="71" t="n"/>
      <c r="U35" s="71" t="n"/>
      <c r="V35" s="71" t="n"/>
      <c r="W35" s="71" t="n"/>
    </row>
    <row r="36">
      <c r="A36" s="80" t="inlineStr">
        <is>
          <t>Среднее значение</t>
        </is>
      </c>
      <c r="B36" s="70">
        <f>IF(B13="","",AVERAGE(B13:B34))</f>
        <v/>
      </c>
      <c r="C36" s="70" t="n"/>
      <c r="D36" s="70" t="n"/>
      <c r="E36" s="70" t="n"/>
      <c r="F36" s="70" t="n"/>
      <c r="G36" s="70" t="n"/>
      <c r="H36" s="70" t="n"/>
      <c r="I36" s="70" t="n"/>
      <c r="J36" s="70" t="n"/>
      <c r="K36" s="70" t="n"/>
      <c r="L36" s="70" t="n"/>
      <c r="M36" s="70" t="n"/>
      <c r="N36" s="70" t="n"/>
      <c r="O36" s="70" t="n"/>
      <c r="P36" s="70" t="n"/>
      <c r="Q36" s="70" t="n"/>
      <c r="R36" s="43" t="n"/>
      <c r="S36" s="43" t="n"/>
      <c r="T36" s="43" t="n"/>
      <c r="U36" s="43" t="n"/>
      <c r="V36" s="43" t="n"/>
      <c r="W36" s="43" t="n"/>
    </row>
    <row r="37">
      <c r="A37" s="76" t="inlineStr">
        <is>
          <t>Стандартное отклонение</t>
        </is>
      </c>
      <c r="B37" s="70">
        <f>IF(B13="","",STDEV(B13:B34))</f>
        <v/>
      </c>
      <c r="C37" s="70" t="n"/>
      <c r="D37" s="70" t="n"/>
      <c r="E37" s="70" t="n"/>
      <c r="F37" s="70" t="n"/>
      <c r="G37" s="70" t="n"/>
      <c r="H37" s="70" t="n"/>
      <c r="I37" s="70" t="n"/>
      <c r="J37" s="70" t="n"/>
      <c r="K37" s="70" t="n"/>
      <c r="L37" s="70" t="n"/>
      <c r="M37" s="70" t="n"/>
      <c r="N37" s="70" t="n"/>
      <c r="O37" s="70" t="n"/>
      <c r="P37" s="70" t="n"/>
      <c r="Q37" s="70" t="n"/>
      <c r="R37" s="139" t="n"/>
      <c r="S37" s="139" t="n"/>
      <c r="T37" s="139" t="n"/>
      <c r="U37" s="139" t="n"/>
      <c r="V37" s="139" t="n"/>
      <c r="W37" s="139" t="n"/>
    </row>
    <row r="38">
      <c r="A38" s="76" t="inlineStr">
        <is>
          <t>Степени свободы</t>
        </is>
      </c>
      <c r="B38" s="70">
        <f>IF(B13="","",COUNTIF(B13:B34,"&lt;&gt;")-1)</f>
        <v/>
      </c>
      <c r="C38" s="70" t="n"/>
      <c r="D38" s="70" t="n"/>
      <c r="E38" s="70" t="n"/>
      <c r="F38" s="70" t="n"/>
      <c r="G38" s="70" t="n"/>
      <c r="H38" s="70" t="n"/>
      <c r="I38" s="70" t="n"/>
      <c r="J38" s="70" t="n"/>
      <c r="K38" s="70" t="n"/>
      <c r="L38" s="70" t="n"/>
      <c r="M38" s="70" t="n"/>
      <c r="N38" s="70" t="n"/>
      <c r="O38" s="70" t="n"/>
      <c r="P38" s="70" t="n"/>
      <c r="Q38" s="70" t="n"/>
      <c r="R38" s="71" t="n"/>
      <c r="S38" s="71" t="n"/>
      <c r="T38" s="71" t="n"/>
      <c r="U38" s="71" t="n"/>
      <c r="V38" s="71" t="n"/>
      <c r="W38" s="71" t="n"/>
    </row>
    <row r="39">
      <c r="A39" s="76" t="inlineStr">
        <is>
          <t>СКО</t>
        </is>
      </c>
      <c r="B39" s="70">
        <f>IF(B37="","",B37/SQRT(B35))</f>
        <v/>
      </c>
      <c r="C39" s="70" t="n"/>
      <c r="D39" s="70" t="n"/>
      <c r="E39" s="70" t="n"/>
      <c r="F39" s="70" t="n"/>
      <c r="G39" s="70" t="n"/>
      <c r="H39" s="70" t="n"/>
      <c r="I39" s="70" t="n"/>
      <c r="J39" s="70" t="n"/>
      <c r="K39" s="70" t="n"/>
      <c r="L39" s="70" t="n"/>
      <c r="M39" s="70" t="n"/>
      <c r="N39" s="70" t="n"/>
      <c r="O39" s="70" t="n"/>
      <c r="P39" s="70" t="n"/>
      <c r="Q39" s="70" t="n"/>
      <c r="R39" s="45" t="n"/>
      <c r="S39" s="45" t="n"/>
      <c r="T39" s="45" t="n"/>
      <c r="U39" s="45" t="n"/>
      <c r="V39" s="45" t="n"/>
      <c r="W39" s="45" t="n"/>
    </row>
    <row r="40">
      <c r="A40" s="76" t="inlineStr">
        <is>
          <t>Количество эталонов</t>
        </is>
      </c>
      <c r="B40" s="70" t="n">
        <v>1</v>
      </c>
      <c r="C40" s="70" t="n"/>
      <c r="D40" s="70" t="n"/>
      <c r="E40" s="70" t="n"/>
      <c r="F40" s="70" t="n"/>
      <c r="G40" s="70" t="n"/>
      <c r="H40" s="70" t="n"/>
      <c r="I40" s="70" t="n"/>
      <c r="J40" s="70" t="n"/>
      <c r="K40" s="70" t="n"/>
      <c r="L40" s="70" t="n"/>
      <c r="M40" s="70" t="n"/>
      <c r="N40" s="70" t="n"/>
      <c r="O40" s="70" t="n"/>
      <c r="P40" s="70" t="n"/>
      <c r="Q40" s="70" t="n"/>
    </row>
    <row r="41">
      <c r="B41" s="69" t="n"/>
      <c r="D41" s="69" t="n"/>
      <c r="F41" s="69" t="n"/>
      <c r="H41" s="69" t="n"/>
      <c r="J41" s="69" t="n"/>
      <c r="L41" s="69" t="n"/>
      <c r="N41" s="69" t="n"/>
      <c r="P41" s="69" t="n"/>
    </row>
    <row r="42"/>
    <row r="43"/>
    <row r="44"/>
    <row r="45"/>
    <row r="46"/>
    <row r="47"/>
    <row r="48"/>
    <row r="49"/>
    <row r="50"/>
    <row r="51"/>
  </sheetData>
  <mergeCells count="1">
    <mergeCell ref="A1:D1"/>
  </mergeCells>
  <pageMargins bottom="0.75" footer="0.3" header="0.3" left="0.7" right="0.7" top="1.020833333333333"/>
  <pageSetup orientation="portrait" pageOrder="overThenDown" paperSize="9" scale="91"/>
  <headerFooter>
    <oddHeader>&amp;C&amp;"Segoe UI Light,полужирный"&amp;10 РЕСПУБЛИКАНСКОЕ УНИТАРНОЕ ПРЕДПРИЯТИЕ_x000a_«БЕЛОРУССКИЙ ГОСУДАРСТВЕННЫЙ ИНСТИТУТ МЕТРОЛОГИИ»_x000a_(БелГИМ)</oddHeader>
    <oddFooter>&amp;C&amp;"Segoe UI Light,курсив"&amp;8 Страница &amp;P+2 из 5</oddFooter>
    <evenHeader/>
    <evenFooter/>
    <firstHeader/>
    <firstFooter/>
  </headerFooter>
  <colBreaks count="1" manualBreakCount="1">
    <brk id="8" man="1" max="1048575" min="0"/>
  </colBreaks>
</worksheet>
</file>

<file path=xl/worksheets/sheet3.xml><?xml version="1.0" encoding="utf-8"?>
<worksheet xmlns="http://schemas.openxmlformats.org/spreadsheetml/2006/main">
  <sheetPr codeName="Лист3">
    <outlinePr summaryBelow="1" summaryRight="1"/>
    <pageSetUpPr/>
  </sheetPr>
  <dimension ref="A1:M302"/>
  <sheetViews>
    <sheetView workbookViewId="0" zoomScaleNormal="100" zoomScaleSheetLayoutView="115">
      <selection activeCell="J24" sqref="A11:J24"/>
    </sheetView>
  </sheetViews>
  <sheetFormatPr baseColWidth="8" defaultRowHeight="10.5"/>
  <cols>
    <col customWidth="1" max="1" min="1" style="94" width="26.875"/>
    <col bestFit="1" customWidth="1" max="2" min="2" style="94" width="11.625"/>
    <col bestFit="1" customWidth="1" max="3" min="3" style="94" width="7.875"/>
    <col bestFit="1" customWidth="1" max="4" min="4" style="94" width="7.75"/>
    <col bestFit="1" customWidth="1" max="5" min="5" style="94" width="3.125"/>
    <col bestFit="1" customWidth="1" max="6" min="6" style="94" width="11.375"/>
    <col bestFit="1" customWidth="1" max="7" min="7" style="94" width="6.75"/>
    <col bestFit="1" customWidth="1" max="8" min="8" style="94" width="12.625"/>
    <col bestFit="1" customWidth="1" max="9" min="9" style="94" width="7.375"/>
    <col bestFit="1" customWidth="1" max="10" min="10" style="94" width="8.125"/>
    <col customWidth="1" max="16384" min="11" style="94" width="9"/>
  </cols>
  <sheetData>
    <row r="1">
      <c r="A1" s="125" t="inlineStr">
        <is>
          <t>ПРИЛОЖЕНИЕ 2 К ПРОТОКОЛУ КАЛИБРОВКИ №</t>
        </is>
      </c>
      <c r="F1" s="41" t="n"/>
      <c r="G1" s="40" t="n">
        <v>-42</v>
      </c>
    </row>
    <row r="3">
      <c r="A3" s="120" t="inlineStr">
        <is>
          <t>БЮДЖЕТ НЕОПРЕДЕЛЁННОСТИ</t>
        </is>
      </c>
      <c r="B3" s="120" t="n"/>
      <c r="C3" s="120" t="n"/>
      <c r="D3" s="120" t="n"/>
      <c r="E3" s="120" t="n"/>
      <c r="F3" s="120" t="n"/>
      <c r="G3" s="120" t="n"/>
      <c r="H3" s="120" t="n"/>
      <c r="I3" s="120" t="n"/>
      <c r="J3" s="120" t="n"/>
      <c r="K3" s="94" t="n"/>
      <c r="L3" s="94" t="n"/>
      <c r="M3" s="94" t="n"/>
    </row>
    <row r="4">
      <c r="K4" s="94" t="n"/>
      <c r="L4" s="94" t="n"/>
      <c r="M4" s="94" t="n"/>
    </row>
    <row r="7">
      <c r="A7" s="94">
        <f>CONCATENATE(Протокол!$C$4," ","№"," ",Протокол!$C$6)</f>
        <v/>
      </c>
      <c r="F7" s="71" t="n"/>
      <c r="G7" s="71" t="n"/>
    </row>
    <row r="8">
      <c r="A8" s="94">
        <f>CONCATENATE("Диапазон:"," ",Измерения!B5)</f>
        <v/>
      </c>
    </row>
    <row r="11">
      <c r="A11" s="85" t="n"/>
      <c r="K11" s="94" t="n"/>
    </row>
    <row r="12">
      <c r="A12" s="85" t="n"/>
      <c r="K12" s="94" t="n"/>
    </row>
    <row r="13">
      <c r="K13" s="94" t="n"/>
    </row>
    <row r="14">
      <c r="B14" s="86" t="n"/>
      <c r="C14" s="87" t="n"/>
      <c r="D14" s="86" t="n"/>
      <c r="E14" s="87" t="n"/>
      <c r="F14" s="87" t="n"/>
      <c r="G14" s="87" t="n"/>
      <c r="H14" s="86" t="n"/>
      <c r="I14" s="86" t="n"/>
      <c r="J14" s="86" t="n"/>
      <c r="K14" s="94" t="n"/>
    </row>
    <row customHeight="1" ht="11.25" r="15" s="73" thickBot="1">
      <c r="A15" s="7" t="n"/>
      <c r="B15" s="8" t="n"/>
      <c r="C15" s="8" t="n"/>
      <c r="D15" s="7" t="n"/>
      <c r="E15" s="7" t="n"/>
      <c r="F15" s="7" t="n"/>
      <c r="G15" s="7" t="n"/>
      <c r="H15" s="9" t="n"/>
      <c r="I15" s="8" t="n"/>
      <c r="J15" s="7" t="n"/>
      <c r="K15" s="94" t="n"/>
    </row>
    <row r="16">
      <c r="A16" s="62" t="n"/>
      <c r="B16" s="10" t="n"/>
      <c r="C16" s="140" t="n"/>
      <c r="D16" s="10" t="n"/>
      <c r="E16" s="10" t="n"/>
      <c r="F16" s="10" t="n"/>
      <c r="G16" s="71" t="n"/>
      <c r="H16" s="141" t="n"/>
      <c r="I16" s="10" t="n"/>
      <c r="J16" s="35" t="n"/>
      <c r="K16" s="94" t="n"/>
    </row>
    <row r="17">
      <c r="A17" s="63" t="n"/>
      <c r="B17" s="71" t="n"/>
      <c r="C17" s="142" t="n"/>
      <c r="D17" s="71" t="n"/>
      <c r="E17" s="71" t="n"/>
      <c r="F17" s="71" t="n"/>
      <c r="G17" s="71" t="n"/>
      <c r="H17" s="141" t="n"/>
      <c r="I17" s="71" t="n"/>
      <c r="J17" s="55" t="n"/>
      <c r="K17" s="94" t="n"/>
    </row>
    <row customHeight="1" ht="11.25" r="18" s="73" thickBot="1">
      <c r="A18" s="64" t="n"/>
      <c r="B18" s="14" t="n"/>
      <c r="C18" s="143" t="n"/>
      <c r="D18" s="14" t="n"/>
      <c r="E18" s="14" t="n"/>
      <c r="F18" s="14" t="n"/>
      <c r="G18" s="14" t="n"/>
      <c r="H18" s="144" t="n"/>
      <c r="I18" s="14" t="n"/>
      <c r="J18" s="33" t="n"/>
      <c r="K18" s="94" t="n"/>
    </row>
    <row customHeight="1" ht="11.25" r="19" s="73">
      <c r="H19" s="89" t="n"/>
      <c r="I19" s="88" t="n"/>
      <c r="K19" s="94" t="n"/>
    </row>
    <row r="20">
      <c r="A20" s="21" t="n"/>
      <c r="H20" s="141" t="n"/>
      <c r="I20" s="90" t="n"/>
      <c r="J20" s="55" t="n"/>
      <c r="K20" s="94" t="n"/>
    </row>
    <row r="21">
      <c r="A21" s="21" t="n"/>
      <c r="B21" s="91" t="n"/>
      <c r="H21" s="145" t="n"/>
      <c r="K21" s="94" t="n"/>
    </row>
    <row r="22">
      <c r="A22" s="21" t="n"/>
      <c r="B22" s="91" t="n"/>
      <c r="H22" s="145" t="n"/>
      <c r="K22" s="94" t="n"/>
    </row>
    <row r="23">
      <c r="A23" s="21" t="n"/>
      <c r="F23" s="92" t="n"/>
      <c r="G23" s="71" t="n"/>
      <c r="H23" s="146" t="n"/>
      <c r="I23" s="21" t="n"/>
      <c r="K23" s="94" t="n"/>
    </row>
    <row r="24">
      <c r="A24" s="21" t="n"/>
      <c r="B24" s="94" t="n"/>
      <c r="C24" s="94" t="n"/>
      <c r="F24" s="95" t="n"/>
      <c r="H24" s="71" t="n"/>
      <c r="K24" s="94" t="n"/>
    </row>
    <row r="25">
      <c r="K25" s="94" t="n"/>
    </row>
    <row r="26">
      <c r="B26" s="147" t="n"/>
      <c r="K26" s="94" t="n"/>
    </row>
    <row r="27">
      <c r="A27" s="85" t="n"/>
      <c r="K27" s="94" t="n"/>
    </row>
    <row r="28">
      <c r="K28" s="94" t="n"/>
    </row>
    <row r="29">
      <c r="B29" s="86" t="n"/>
      <c r="C29" s="87" t="n"/>
      <c r="D29" s="86" t="n"/>
      <c r="E29" s="87" t="n"/>
      <c r="F29" s="87" t="n"/>
      <c r="G29" s="87" t="n"/>
      <c r="H29" s="86" t="n"/>
      <c r="I29" s="86" t="n"/>
      <c r="J29" s="86" t="n"/>
      <c r="K29" s="94" t="n"/>
    </row>
    <row customHeight="1" ht="11.25" r="30" s="73" thickBot="1">
      <c r="A30" s="7" t="n"/>
      <c r="B30" s="8" t="n"/>
      <c r="C30" s="8" t="n"/>
      <c r="D30" s="7" t="n"/>
      <c r="E30" s="7" t="n"/>
      <c r="F30" s="7" t="n"/>
      <c r="G30" s="7" t="n"/>
      <c r="H30" s="9" t="n"/>
      <c r="I30" s="8" t="n"/>
      <c r="J30" s="7" t="n"/>
      <c r="K30" s="94" t="n"/>
    </row>
    <row r="31">
      <c r="A31" s="62" t="n"/>
      <c r="B31" s="10" t="n"/>
      <c r="C31" s="140" t="n"/>
      <c r="D31" s="10" t="n"/>
      <c r="E31" s="10" t="n"/>
      <c r="F31" s="10" t="n"/>
      <c r="G31" s="71" t="n"/>
      <c r="H31" s="141" t="n"/>
      <c r="I31" s="10" t="n"/>
      <c r="J31" s="35" t="n"/>
      <c r="K31" s="94" t="n"/>
    </row>
    <row r="32">
      <c r="A32" s="63" t="n"/>
      <c r="B32" s="71" t="n"/>
      <c r="C32" s="142" t="n"/>
      <c r="D32" s="71" t="n"/>
      <c r="E32" s="71" t="n"/>
      <c r="F32" s="71" t="n"/>
      <c r="G32" s="71" t="n"/>
      <c r="H32" s="141" t="n"/>
      <c r="I32" s="71" t="n"/>
      <c r="J32" s="55" t="n"/>
      <c r="K32" s="94" t="n"/>
    </row>
    <row customHeight="1" ht="11.25" r="33" s="73" thickBot="1">
      <c r="A33" s="64" t="n"/>
      <c r="B33" s="14" t="n"/>
      <c r="C33" s="143" t="n"/>
      <c r="D33" s="14" t="n"/>
      <c r="E33" s="14" t="n"/>
      <c r="F33" s="14" t="n"/>
      <c r="G33" s="14" t="n"/>
      <c r="H33" s="144" t="n"/>
      <c r="I33" s="14" t="n"/>
      <c r="J33" s="33" t="n"/>
      <c r="K33" s="94" t="n"/>
    </row>
    <row r="34">
      <c r="H34" s="89" t="n"/>
      <c r="I34" s="88" t="n"/>
      <c r="K34" s="94" t="n"/>
    </row>
    <row r="35">
      <c r="A35" s="21" t="n"/>
      <c r="H35" s="141" t="n"/>
      <c r="I35" s="90" t="n"/>
      <c r="J35" s="55" t="n"/>
      <c r="K35" s="94" t="n"/>
    </row>
    <row r="36">
      <c r="A36" s="21" t="n"/>
      <c r="B36" s="91" t="n"/>
      <c r="H36" s="145" t="n"/>
      <c r="K36" s="94" t="n"/>
    </row>
    <row r="37">
      <c r="A37" s="21" t="n"/>
      <c r="B37" s="91" t="n"/>
      <c r="H37" s="145" t="n"/>
      <c r="K37" s="94" t="n"/>
    </row>
    <row r="38">
      <c r="A38" s="21" t="n"/>
      <c r="F38" s="92" t="n"/>
      <c r="G38" s="71" t="n"/>
      <c r="H38" s="146" t="n"/>
      <c r="I38" s="21" t="n"/>
      <c r="K38" s="94" t="n"/>
    </row>
    <row r="39">
      <c r="A39" s="21" t="n"/>
      <c r="B39" s="94" t="n"/>
      <c r="C39" s="94" t="n"/>
      <c r="F39" s="95" t="n"/>
      <c r="H39" s="71" t="n"/>
      <c r="K39" s="94" t="n"/>
    </row>
    <row r="40">
      <c r="K40" s="94" t="n"/>
    </row>
    <row r="41">
      <c r="K41" s="94" t="n"/>
    </row>
    <row r="42">
      <c r="A42" s="85" t="n"/>
      <c r="K42" s="94" t="n"/>
    </row>
    <row r="43">
      <c r="K43" s="94" t="n"/>
    </row>
    <row r="44">
      <c r="B44" s="86" t="n"/>
      <c r="C44" s="87" t="n"/>
      <c r="D44" s="86" t="n"/>
      <c r="E44" s="87" t="n"/>
      <c r="F44" s="87" t="n"/>
      <c r="G44" s="87" t="n"/>
      <c r="H44" s="86" t="n"/>
      <c r="I44" s="86" t="n"/>
      <c r="J44" s="86" t="n"/>
      <c r="K44" s="94" t="n"/>
    </row>
    <row customHeight="1" ht="11.25" r="45" s="73" thickBot="1">
      <c r="A45" s="7" t="n"/>
      <c r="B45" s="8" t="n"/>
      <c r="C45" s="8" t="n"/>
      <c r="D45" s="7" t="n"/>
      <c r="E45" s="7" t="n"/>
      <c r="F45" s="7" t="n"/>
      <c r="G45" s="7" t="n"/>
      <c r="H45" s="9" t="n"/>
      <c r="I45" s="8" t="n"/>
      <c r="J45" s="7" t="n"/>
      <c r="K45" s="94" t="n"/>
    </row>
    <row r="46">
      <c r="A46" s="62" t="n"/>
      <c r="B46" s="10" t="n"/>
      <c r="C46" s="140" t="n"/>
      <c r="D46" s="10" t="n"/>
      <c r="E46" s="10" t="n"/>
      <c r="F46" s="10" t="n"/>
      <c r="G46" s="71" t="n"/>
      <c r="H46" s="141" t="n"/>
      <c r="I46" s="10" t="n"/>
      <c r="J46" s="35" t="n"/>
      <c r="K46" s="94" t="n"/>
    </row>
    <row r="47">
      <c r="A47" s="63" t="n"/>
      <c r="B47" s="71" t="n"/>
      <c r="C47" s="142" t="n"/>
      <c r="D47" s="71" t="n"/>
      <c r="E47" s="71" t="n"/>
      <c r="F47" s="71" t="n"/>
      <c r="G47" s="71" t="n"/>
      <c r="H47" s="141" t="n"/>
      <c r="I47" s="71" t="n"/>
      <c r="J47" s="55" t="n"/>
      <c r="K47" s="94" t="n"/>
    </row>
    <row customHeight="1" ht="11.25" r="48" s="73" thickBot="1">
      <c r="A48" s="64" t="n"/>
      <c r="B48" s="14" t="n"/>
      <c r="C48" s="143" t="n"/>
      <c r="D48" s="14" t="n"/>
      <c r="E48" s="14" t="n"/>
      <c r="F48" s="14" t="n"/>
      <c r="G48" s="14" t="n"/>
      <c r="H48" s="144" t="n"/>
      <c r="I48" s="14" t="n"/>
      <c r="J48" s="33" t="n"/>
      <c r="K48" s="94" t="n"/>
    </row>
    <row r="49">
      <c r="H49" s="89" t="n"/>
      <c r="I49" s="88" t="n"/>
      <c r="K49" s="94" t="n"/>
    </row>
    <row r="50">
      <c r="A50" s="21" t="n"/>
      <c r="H50" s="141" t="n"/>
      <c r="I50" s="90" t="n"/>
      <c r="J50" s="55" t="n"/>
      <c r="K50" s="94" t="n"/>
    </row>
    <row r="51">
      <c r="A51" s="21" t="n"/>
      <c r="B51" s="91" t="n"/>
      <c r="H51" s="145" t="n"/>
      <c r="K51" s="94" t="n"/>
    </row>
    <row r="52">
      <c r="A52" s="21" t="n"/>
      <c r="B52" s="91" t="n"/>
      <c r="H52" s="145" t="n"/>
      <c r="K52" s="94" t="n"/>
    </row>
    <row r="53">
      <c r="A53" s="21" t="n"/>
      <c r="F53" s="92" t="n"/>
      <c r="G53" s="71" t="n"/>
      <c r="H53" s="146" t="n"/>
      <c r="I53" s="21" t="n"/>
      <c r="K53" s="94" t="n"/>
    </row>
    <row r="54">
      <c r="A54" s="21" t="n"/>
      <c r="B54" s="94" t="n"/>
      <c r="C54" s="94" t="n"/>
      <c r="F54" s="95" t="n"/>
      <c r="H54" s="71" t="n"/>
      <c r="K54" s="94" t="n"/>
    </row>
    <row r="55">
      <c r="K55" s="94" t="n"/>
    </row>
    <row r="56">
      <c r="K56" s="94" t="n"/>
    </row>
    <row r="57">
      <c r="K57" s="94" t="n"/>
    </row>
    <row r="58">
      <c r="K58" s="94" t="n"/>
    </row>
    <row r="59">
      <c r="K59" s="94" t="n"/>
    </row>
    <row r="60">
      <c r="K60" s="94" t="n"/>
    </row>
    <row r="61">
      <c r="K61" s="94" t="n"/>
    </row>
    <row r="62">
      <c r="K62" s="94" t="n"/>
    </row>
    <row r="63">
      <c r="K63" s="94" t="n"/>
    </row>
    <row r="64">
      <c r="K64" s="94" t="n"/>
    </row>
    <row r="65">
      <c r="K65" s="94" t="n"/>
    </row>
    <row r="66">
      <c r="K66" s="94" t="n"/>
    </row>
    <row r="67">
      <c r="K67" s="94" t="n"/>
    </row>
    <row r="68">
      <c r="K68" s="94" t="n"/>
    </row>
    <row r="69">
      <c r="K69" s="94" t="n"/>
    </row>
    <row r="234">
      <c r="A234" s="94" t="n"/>
      <c r="B234" s="94" t="n"/>
      <c r="C234" s="94" t="n"/>
      <c r="D234" s="94" t="n"/>
      <c r="E234" s="94" t="n"/>
      <c r="F234" s="94" t="n"/>
      <c r="G234" s="94" t="n"/>
      <c r="H234" s="89" t="n"/>
      <c r="I234" s="88" t="n"/>
      <c r="J234" s="94" t="n"/>
    </row>
    <row r="235">
      <c r="A235" s="21" t="n"/>
      <c r="B235" s="94" t="n"/>
      <c r="C235" s="94" t="n"/>
      <c r="D235" s="94" t="n"/>
      <c r="E235" s="94" t="n"/>
      <c r="F235" s="94" t="n"/>
      <c r="G235" s="94" t="n"/>
      <c r="H235" s="141" t="n"/>
      <c r="I235" s="90" t="n"/>
      <c r="J235" s="55" t="n"/>
    </row>
    <row r="236">
      <c r="A236" s="21" t="n"/>
      <c r="B236" s="91" t="n"/>
      <c r="C236" s="94" t="n"/>
      <c r="D236" s="94" t="n"/>
      <c r="E236" s="94" t="n"/>
      <c r="F236" s="94" t="n"/>
      <c r="G236" s="94" t="n"/>
      <c r="H236" s="145" t="n"/>
      <c r="I236" s="94" t="n"/>
      <c r="J236" s="94" t="n"/>
    </row>
    <row r="237">
      <c r="A237" s="21" t="n"/>
      <c r="B237" s="91" t="n"/>
      <c r="C237" s="94" t="n"/>
      <c r="D237" s="94" t="n"/>
      <c r="E237" s="94" t="n"/>
      <c r="F237" s="94" t="n"/>
      <c r="G237" s="94" t="n"/>
      <c r="H237" s="145" t="n"/>
      <c r="I237" s="94" t="n"/>
      <c r="J237" s="94" t="n"/>
    </row>
    <row r="238">
      <c r="A238" s="21" t="n"/>
      <c r="B238" s="94" t="n"/>
      <c r="C238" s="94" t="n"/>
      <c r="D238" s="94" t="n"/>
      <c r="E238" s="94" t="n"/>
      <c r="F238" s="92" t="n"/>
      <c r="G238" s="71" t="n"/>
      <c r="H238" s="146" t="n"/>
      <c r="I238" s="21" t="n"/>
      <c r="J238" s="94" t="n"/>
    </row>
    <row r="239">
      <c r="A239" s="21" t="n"/>
      <c r="B239" s="94" t="n"/>
      <c r="C239" s="94" t="n"/>
      <c r="D239" s="94" t="n"/>
      <c r="E239" s="94" t="n"/>
      <c r="F239" s="95" t="n"/>
      <c r="G239" s="94" t="n"/>
      <c r="H239" s="71" t="n"/>
      <c r="I239" s="94" t="n"/>
      <c r="J239" s="94" t="n"/>
    </row>
    <row r="240">
      <c r="A240" s="94" t="n"/>
      <c r="B240" s="94" t="n"/>
      <c r="C240" s="94" t="n"/>
      <c r="D240" s="94" t="n"/>
      <c r="E240" s="94" t="n"/>
      <c r="F240" s="94" t="n"/>
      <c r="G240" s="94" t="n"/>
      <c r="H240" s="94" t="n"/>
      <c r="I240" s="94" t="n"/>
      <c r="J240" s="94" t="n"/>
    </row>
    <row r="241">
      <c r="A241" s="94" t="n"/>
      <c r="B241" s="147" t="n"/>
      <c r="C241" s="94" t="n"/>
      <c r="D241" s="94" t="n"/>
      <c r="E241" s="94" t="n"/>
      <c r="F241" s="94" t="n"/>
      <c r="G241" s="94" t="n"/>
      <c r="H241" s="94" t="n"/>
      <c r="I241" s="94" t="n"/>
      <c r="J241" s="94" t="n"/>
    </row>
    <row r="242">
      <c r="A242" s="85" t="n"/>
      <c r="B242" s="94" t="n"/>
      <c r="C242" s="94" t="n"/>
      <c r="D242" s="94" t="n"/>
      <c r="E242" s="94" t="n"/>
      <c r="F242" s="94" t="n"/>
      <c r="G242" s="94" t="n"/>
      <c r="H242" s="94" t="n"/>
      <c r="I242" s="94" t="n"/>
      <c r="J242" s="94" t="n"/>
    </row>
    <row r="243">
      <c r="A243" s="85" t="n"/>
      <c r="B243" s="94" t="n"/>
      <c r="C243" s="94" t="n"/>
      <c r="D243" s="94" t="n"/>
      <c r="E243" s="94" t="n"/>
      <c r="F243" s="94" t="n"/>
      <c r="G243" s="94" t="n"/>
      <c r="H243" s="94" t="n"/>
      <c r="I243" s="94" t="n"/>
      <c r="J243" s="94" t="n"/>
    </row>
    <row r="244">
      <c r="A244" s="94" t="n"/>
      <c r="B244" s="94" t="n"/>
      <c r="C244" s="94" t="n"/>
      <c r="D244" s="94" t="n"/>
      <c r="E244" s="94" t="n"/>
      <c r="F244" s="94" t="n"/>
      <c r="G244" s="94" t="n"/>
      <c r="H244" s="94" t="n"/>
      <c r="I244" s="94" t="n"/>
      <c r="J244" s="94" t="n"/>
    </row>
    <row r="245">
      <c r="A245" s="94" t="n"/>
      <c r="B245" s="86" t="n"/>
      <c r="C245" s="87" t="n"/>
      <c r="D245" s="86" t="n"/>
      <c r="E245" s="87" t="n"/>
      <c r="F245" s="87" t="n"/>
      <c r="G245" s="87" t="n"/>
      <c r="H245" s="86" t="n"/>
      <c r="I245" s="86" t="n"/>
      <c r="J245" s="86" t="n"/>
    </row>
    <row r="246">
      <c r="A246" s="94" t="n"/>
      <c r="B246" s="88" t="n"/>
      <c r="C246" s="88" t="n"/>
      <c r="D246" s="94" t="n"/>
      <c r="E246" s="94" t="n"/>
      <c r="F246" s="94" t="n"/>
      <c r="G246" s="94" t="n"/>
      <c r="H246" s="89" t="n"/>
      <c r="I246" s="88" t="n"/>
      <c r="J246" s="94" t="n"/>
    </row>
    <row r="247">
      <c r="A247" s="63" t="n"/>
      <c r="B247" s="71" t="n"/>
      <c r="C247" s="142" t="n"/>
      <c r="D247" s="71" t="n"/>
      <c r="E247" s="71" t="n"/>
      <c r="F247" s="71" t="n"/>
      <c r="G247" s="71" t="n"/>
      <c r="H247" s="141" t="n"/>
      <c r="I247" s="71" t="n"/>
      <c r="J247" s="55" t="n"/>
    </row>
    <row r="248">
      <c r="A248" s="63" t="n"/>
      <c r="B248" s="71" t="n"/>
      <c r="C248" s="142" t="n"/>
      <c r="D248" s="71" t="n"/>
      <c r="E248" s="71" t="n"/>
      <c r="F248" s="71" t="n"/>
      <c r="G248" s="71" t="n"/>
      <c r="H248" s="141" t="n"/>
      <c r="I248" s="71" t="n"/>
      <c r="J248" s="55" t="n"/>
    </row>
    <row r="249">
      <c r="A249" s="63" t="n"/>
      <c r="B249" s="71" t="n"/>
      <c r="C249" s="142" t="n"/>
      <c r="D249" s="71" t="n"/>
      <c r="E249" s="71" t="n"/>
      <c r="F249" s="71" t="n"/>
      <c r="G249" s="71" t="n"/>
      <c r="H249" s="141" t="n"/>
      <c r="I249" s="71" t="n"/>
      <c r="J249" s="55" t="n"/>
    </row>
    <row r="250">
      <c r="A250" s="63" t="n"/>
      <c r="B250" s="71" t="n"/>
      <c r="C250" s="142" t="n"/>
      <c r="D250" s="71" t="n"/>
      <c r="E250" s="71" t="n"/>
      <c r="F250" s="71" t="n"/>
      <c r="G250" s="71" t="n"/>
      <c r="H250" s="141" t="n"/>
      <c r="I250" s="71" t="n"/>
      <c r="J250" s="55" t="n"/>
    </row>
    <row r="251">
      <c r="A251" s="94" t="n"/>
      <c r="B251" s="94" t="n"/>
      <c r="C251" s="94" t="n"/>
      <c r="D251" s="94" t="n"/>
      <c r="E251" s="94" t="n"/>
      <c r="F251" s="94" t="n"/>
      <c r="G251" s="94" t="n"/>
      <c r="H251" s="89" t="n"/>
      <c r="I251" s="88" t="n"/>
      <c r="J251" s="94" t="n"/>
    </row>
    <row r="252">
      <c r="A252" s="21" t="n"/>
      <c r="B252" s="94" t="n"/>
      <c r="C252" s="94" t="n"/>
      <c r="D252" s="94" t="n"/>
      <c r="E252" s="94" t="n"/>
      <c r="F252" s="94" t="n"/>
      <c r="G252" s="94" t="n"/>
      <c r="H252" s="141" t="n"/>
      <c r="I252" s="90" t="n"/>
      <c r="J252" s="55" t="n"/>
    </row>
    <row r="253">
      <c r="A253" s="21" t="n"/>
      <c r="B253" s="91" t="n"/>
      <c r="C253" s="94" t="n"/>
      <c r="D253" s="94" t="n"/>
      <c r="E253" s="94" t="n"/>
      <c r="F253" s="94" t="n"/>
      <c r="G253" s="94" t="n"/>
      <c r="H253" s="145" t="n"/>
      <c r="I253" s="94" t="n"/>
      <c r="J253" s="94" t="n"/>
    </row>
    <row r="254">
      <c r="A254" s="21" t="n"/>
      <c r="B254" s="91" t="n"/>
      <c r="C254" s="94" t="n"/>
      <c r="D254" s="94" t="n"/>
      <c r="E254" s="94" t="n"/>
      <c r="F254" s="94" t="n"/>
      <c r="G254" s="94" t="n"/>
      <c r="H254" s="145" t="n"/>
      <c r="I254" s="94" t="n"/>
      <c r="J254" s="94" t="n"/>
    </row>
    <row r="255">
      <c r="A255" s="21" t="n"/>
      <c r="B255" s="94" t="n"/>
      <c r="C255" s="94" t="n"/>
      <c r="D255" s="94" t="n"/>
      <c r="E255" s="94" t="n"/>
      <c r="F255" s="92" t="n"/>
      <c r="G255" s="71" t="n"/>
      <c r="H255" s="146" t="n"/>
      <c r="I255" s="21" t="n"/>
      <c r="J255" s="94" t="n"/>
    </row>
    <row r="256">
      <c r="A256" s="21" t="n"/>
      <c r="B256" s="94" t="n"/>
      <c r="C256" s="94" t="n"/>
      <c r="D256" s="94" t="n"/>
      <c r="E256" s="94" t="n"/>
      <c r="F256" s="95" t="n"/>
      <c r="G256" s="94" t="n"/>
      <c r="H256" s="71" t="n"/>
      <c r="I256" s="94" t="n"/>
      <c r="J256" s="94" t="n"/>
    </row>
    <row r="257">
      <c r="A257" s="94" t="n"/>
      <c r="B257" s="94" t="n"/>
      <c r="C257" s="94" t="n"/>
      <c r="D257" s="94" t="n"/>
      <c r="E257" s="94" t="n"/>
      <c r="F257" s="94" t="n"/>
      <c r="G257" s="94" t="n"/>
      <c r="H257" s="94" t="n"/>
      <c r="I257" s="94" t="n"/>
      <c r="J257" s="94" t="n"/>
    </row>
    <row r="258">
      <c r="A258" s="94" t="n"/>
      <c r="B258" s="147" t="n"/>
      <c r="C258" s="94" t="n"/>
      <c r="D258" s="94" t="n"/>
      <c r="E258" s="94" t="n"/>
      <c r="F258" s="94" t="n"/>
      <c r="G258" s="94" t="n"/>
      <c r="H258" s="94" t="n"/>
      <c r="I258" s="94" t="n"/>
      <c r="J258" s="94" t="n"/>
    </row>
    <row r="259">
      <c r="A259" s="85" t="n"/>
      <c r="B259" s="94" t="n"/>
      <c r="C259" s="94" t="n"/>
      <c r="D259" s="94" t="n"/>
      <c r="E259" s="94" t="n"/>
      <c r="F259" s="94" t="n"/>
      <c r="G259" s="94" t="n"/>
      <c r="H259" s="94" t="n"/>
      <c r="I259" s="94" t="n"/>
      <c r="J259" s="94" t="n"/>
    </row>
    <row r="260">
      <c r="A260" s="85" t="n"/>
      <c r="B260" s="94" t="n"/>
      <c r="C260" s="94" t="n"/>
      <c r="D260" s="94" t="n"/>
      <c r="E260" s="94" t="n"/>
      <c r="F260" s="94" t="n"/>
      <c r="G260" s="94" t="n"/>
      <c r="H260" s="94" t="n"/>
      <c r="I260" s="94" t="n"/>
      <c r="J260" s="94" t="n"/>
    </row>
    <row r="261">
      <c r="A261" s="94" t="n"/>
      <c r="B261" s="94" t="n"/>
      <c r="C261" s="94" t="n"/>
      <c r="D261" s="94" t="n"/>
      <c r="E261" s="94" t="n"/>
      <c r="F261" s="94" t="n"/>
      <c r="G261" s="94" t="n"/>
      <c r="H261" s="94" t="n"/>
      <c r="I261" s="94" t="n"/>
      <c r="J261" s="94" t="n"/>
    </row>
    <row r="262">
      <c r="A262" s="94" t="n"/>
      <c r="B262" s="86" t="n"/>
      <c r="C262" s="87" t="n"/>
      <c r="D262" s="86" t="n"/>
      <c r="E262" s="87" t="n"/>
      <c r="F262" s="87" t="n"/>
      <c r="G262" s="87" t="n"/>
      <c r="H262" s="86" t="n"/>
      <c r="I262" s="86" t="n"/>
      <c r="J262" s="86" t="n"/>
    </row>
    <row r="263">
      <c r="A263" s="94" t="n"/>
      <c r="B263" s="88" t="n"/>
      <c r="C263" s="88" t="n"/>
      <c r="D263" s="94" t="n"/>
      <c r="E263" s="94" t="n"/>
      <c r="F263" s="94" t="n"/>
      <c r="G263" s="94" t="n"/>
      <c r="H263" s="89" t="n"/>
      <c r="I263" s="88" t="n"/>
      <c r="J263" s="94" t="n"/>
    </row>
    <row r="264">
      <c r="A264" s="63" t="n"/>
      <c r="B264" s="71" t="n"/>
      <c r="C264" s="142" t="n"/>
      <c r="D264" s="71" t="n"/>
      <c r="E264" s="71" t="n"/>
      <c r="F264" s="71" t="n"/>
      <c r="G264" s="71" t="n"/>
      <c r="H264" s="141" t="n"/>
      <c r="I264" s="71" t="n"/>
      <c r="J264" s="55" t="n"/>
    </row>
    <row r="265">
      <c r="A265" s="63" t="n"/>
      <c r="B265" s="71" t="n"/>
      <c r="C265" s="142" t="n"/>
      <c r="D265" s="71" t="n"/>
      <c r="E265" s="71" t="n"/>
      <c r="F265" s="71" t="n"/>
      <c r="G265" s="71" t="n"/>
      <c r="H265" s="141" t="n"/>
      <c r="I265" s="71" t="n"/>
      <c r="J265" s="55" t="n"/>
    </row>
    <row r="266">
      <c r="A266" s="63" t="n"/>
      <c r="B266" s="71" t="n"/>
      <c r="C266" s="142" t="n"/>
      <c r="D266" s="71" t="n"/>
      <c r="E266" s="71" t="n"/>
      <c r="F266" s="71" t="n"/>
      <c r="G266" s="71" t="n"/>
      <c r="H266" s="141" t="n"/>
      <c r="I266" s="71" t="n"/>
      <c r="J266" s="55" t="n"/>
    </row>
    <row r="267">
      <c r="A267" s="94" t="n"/>
      <c r="B267" s="94" t="n"/>
      <c r="C267" s="94" t="n"/>
      <c r="D267" s="94" t="n"/>
      <c r="E267" s="94" t="n"/>
      <c r="F267" s="94" t="n"/>
      <c r="G267" s="94" t="n"/>
      <c r="H267" s="89" t="n"/>
      <c r="I267" s="88" t="n"/>
      <c r="J267" s="94" t="n"/>
    </row>
    <row r="268">
      <c r="A268" s="21" t="n"/>
      <c r="B268" s="94" t="n"/>
      <c r="C268" s="94" t="n"/>
      <c r="D268" s="94" t="n"/>
      <c r="E268" s="94" t="n"/>
      <c r="F268" s="94" t="n"/>
      <c r="G268" s="94" t="n"/>
      <c r="H268" s="141" t="n"/>
      <c r="I268" s="90" t="n"/>
      <c r="J268" s="55" t="n"/>
    </row>
    <row r="269">
      <c r="A269" s="21" t="n"/>
      <c r="B269" s="91" t="n"/>
      <c r="C269" s="94" t="n"/>
      <c r="D269" s="94" t="n"/>
      <c r="E269" s="94" t="n"/>
      <c r="F269" s="94" t="n"/>
      <c r="G269" s="94" t="n"/>
      <c r="H269" s="145" t="n"/>
      <c r="I269" s="94" t="n"/>
      <c r="J269" s="94" t="n"/>
    </row>
    <row r="270">
      <c r="A270" s="21" t="n"/>
      <c r="B270" s="91" t="n"/>
      <c r="C270" s="94" t="n"/>
      <c r="D270" s="94" t="n"/>
      <c r="E270" s="94" t="n"/>
      <c r="F270" s="94" t="n"/>
      <c r="G270" s="94" t="n"/>
      <c r="H270" s="145" t="n"/>
      <c r="I270" s="94" t="n"/>
      <c r="J270" s="94" t="n"/>
    </row>
    <row r="271">
      <c r="A271" s="21" t="n"/>
      <c r="B271" s="94" t="n"/>
      <c r="C271" s="94" t="n"/>
      <c r="D271" s="94" t="n"/>
      <c r="E271" s="94" t="n"/>
      <c r="F271" s="92" t="n"/>
      <c r="G271" s="71" t="n"/>
      <c r="H271" s="146" t="n"/>
      <c r="I271" s="21" t="n"/>
      <c r="J271" s="94" t="n"/>
    </row>
    <row r="272">
      <c r="A272" s="21" t="n"/>
      <c r="B272" s="94" t="n"/>
      <c r="C272" s="94" t="n"/>
      <c r="D272" s="94" t="n"/>
      <c r="E272" s="94" t="n"/>
      <c r="F272" s="95" t="n"/>
      <c r="G272" s="94" t="n"/>
      <c r="H272" s="71" t="n"/>
      <c r="I272" s="94" t="n"/>
      <c r="J272" s="94" t="n"/>
    </row>
    <row r="274">
      <c r="B274" s="147" t="n"/>
    </row>
    <row r="275">
      <c r="A275" s="85" t="n"/>
    </row>
    <row r="277">
      <c r="A277" s="94" t="n"/>
      <c r="B277" s="86" t="n"/>
      <c r="C277" s="87" t="n"/>
      <c r="D277" s="86" t="n"/>
      <c r="E277" s="87" t="n"/>
      <c r="F277" s="87" t="n"/>
      <c r="G277" s="87" t="n"/>
      <c r="H277" s="86" t="n"/>
      <c r="I277" s="86" t="n"/>
      <c r="J277" s="86" t="n"/>
      <c r="K277" s="94" t="n"/>
    </row>
    <row r="278">
      <c r="A278" s="94" t="n"/>
      <c r="B278" s="88" t="n"/>
      <c r="C278" s="88" t="n"/>
      <c r="D278" s="94" t="n"/>
      <c r="E278" s="94" t="n"/>
      <c r="F278" s="94" t="n"/>
      <c r="G278" s="94" t="n"/>
      <c r="H278" s="89" t="n"/>
      <c r="I278" s="88" t="n"/>
      <c r="J278" s="94" t="n"/>
      <c r="K278" s="94" t="n"/>
    </row>
    <row r="279">
      <c r="A279" s="63" t="n"/>
      <c r="B279" s="71" t="n"/>
      <c r="C279" s="142" t="n"/>
      <c r="D279" s="71" t="n"/>
      <c r="E279" s="71" t="n"/>
      <c r="F279" s="71" t="n"/>
      <c r="G279" s="71" t="n"/>
      <c r="H279" s="141" t="n"/>
      <c r="I279" s="71" t="n"/>
      <c r="J279" s="55" t="n"/>
      <c r="K279" s="94" t="n"/>
    </row>
    <row r="280">
      <c r="A280" s="63" t="n"/>
      <c r="B280" s="71" t="n"/>
      <c r="C280" s="142" t="n"/>
      <c r="D280" s="71" t="n"/>
      <c r="E280" s="71" t="n"/>
      <c r="F280" s="71" t="n"/>
      <c r="G280" s="71" t="n"/>
      <c r="H280" s="141" t="n"/>
      <c r="I280" s="71" t="n"/>
      <c r="J280" s="55" t="n"/>
      <c r="K280" s="94" t="n"/>
    </row>
    <row r="281">
      <c r="A281" s="63" t="n"/>
      <c r="B281" s="71" t="n"/>
      <c r="C281" s="142" t="n"/>
      <c r="D281" s="71" t="n"/>
      <c r="E281" s="71" t="n"/>
      <c r="F281" s="71" t="n"/>
      <c r="G281" s="71" t="n"/>
      <c r="H281" s="141" t="n"/>
      <c r="I281" s="71" t="n"/>
      <c r="J281" s="55" t="n"/>
      <c r="K281" s="94" t="n"/>
    </row>
    <row r="282">
      <c r="A282" s="94" t="n"/>
      <c r="B282" s="94" t="n"/>
      <c r="C282" s="94" t="n"/>
      <c r="D282" s="94" t="n"/>
      <c r="E282" s="94" t="n"/>
      <c r="F282" s="94" t="n"/>
      <c r="G282" s="94" t="n"/>
      <c r="H282" s="89" t="n"/>
      <c r="I282" s="88" t="n"/>
      <c r="J282" s="94" t="n"/>
      <c r="K282" s="94" t="n"/>
    </row>
    <row r="283">
      <c r="A283" s="21" t="n"/>
      <c r="B283" s="94" t="n"/>
      <c r="C283" s="94" t="n"/>
      <c r="D283" s="94" t="n"/>
      <c r="E283" s="94" t="n"/>
      <c r="F283" s="94" t="n"/>
      <c r="G283" s="94" t="n"/>
      <c r="H283" s="141" t="n"/>
      <c r="I283" s="90" t="n"/>
      <c r="J283" s="55" t="n"/>
      <c r="K283" s="94" t="n"/>
    </row>
    <row r="284">
      <c r="A284" s="21" t="n"/>
      <c r="B284" s="91" t="n"/>
      <c r="C284" s="94" t="n"/>
      <c r="D284" s="94" t="n"/>
      <c r="E284" s="94" t="n"/>
      <c r="F284" s="94" t="n"/>
      <c r="G284" s="94" t="n"/>
      <c r="H284" s="145" t="n"/>
      <c r="I284" s="94" t="n"/>
      <c r="J284" s="94" t="n"/>
      <c r="K284" s="94" t="n"/>
    </row>
    <row r="285">
      <c r="A285" s="21" t="n"/>
      <c r="B285" s="91" t="n"/>
      <c r="C285" s="94" t="n"/>
      <c r="D285" s="94" t="n"/>
      <c r="E285" s="94" t="n"/>
      <c r="F285" s="94" t="n"/>
      <c r="G285" s="94" t="n"/>
      <c r="H285" s="145" t="n"/>
      <c r="I285" s="94" t="n"/>
      <c r="J285" s="94" t="n"/>
      <c r="K285" s="94" t="n"/>
    </row>
    <row r="286">
      <c r="A286" s="21" t="n"/>
      <c r="B286" s="94" t="n"/>
      <c r="C286" s="94" t="n"/>
      <c r="D286" s="94" t="n"/>
      <c r="E286" s="94" t="n"/>
      <c r="F286" s="92" t="n"/>
      <c r="G286" s="71" t="n"/>
      <c r="H286" s="146" t="n"/>
      <c r="I286" s="21" t="n"/>
      <c r="J286" s="94" t="n"/>
      <c r="K286" s="94" t="n"/>
    </row>
    <row r="287">
      <c r="A287" s="21" t="n"/>
      <c r="B287" s="94" t="n"/>
      <c r="C287" s="94" t="n"/>
      <c r="D287" s="94" t="n"/>
      <c r="E287" s="94" t="n"/>
      <c r="F287" s="95" t="n"/>
      <c r="G287" s="94" t="n"/>
      <c r="H287" s="71" t="n"/>
      <c r="I287" s="94" t="n"/>
      <c r="J287" s="94" t="n"/>
      <c r="K287" s="94" t="n"/>
    </row>
    <row r="288">
      <c r="A288" s="94" t="n"/>
      <c r="B288" s="94" t="n"/>
      <c r="C288" s="94" t="n"/>
      <c r="D288" s="94" t="n"/>
      <c r="E288" s="94" t="n"/>
      <c r="F288" s="94" t="n"/>
      <c r="G288" s="94" t="n"/>
      <c r="H288" s="94" t="n"/>
      <c r="I288" s="94" t="n"/>
      <c r="J288" s="94" t="n"/>
      <c r="K288" s="94" t="n"/>
    </row>
    <row r="289">
      <c r="A289" s="94" t="n"/>
      <c r="B289" s="94" t="n"/>
      <c r="C289" s="94" t="n"/>
      <c r="D289" s="94" t="n"/>
      <c r="E289" s="94" t="n"/>
      <c r="F289" s="94" t="n"/>
      <c r="G289" s="94" t="n"/>
      <c r="H289" s="94" t="n"/>
      <c r="I289" s="94" t="n"/>
      <c r="J289" s="94" t="n"/>
      <c r="K289" s="94" t="n"/>
    </row>
    <row r="290">
      <c r="A290" s="85" t="n"/>
      <c r="B290" s="94" t="n"/>
      <c r="C290" s="94" t="n"/>
      <c r="D290" s="94" t="n"/>
      <c r="E290" s="94" t="n"/>
      <c r="F290" s="94" t="n"/>
      <c r="G290" s="94" t="n"/>
      <c r="H290" s="94" t="n"/>
      <c r="I290" s="94" t="n"/>
      <c r="J290" s="94" t="n"/>
      <c r="K290" s="94" t="n"/>
    </row>
    <row r="291">
      <c r="A291" s="94" t="n"/>
      <c r="B291" s="94" t="n"/>
      <c r="C291" s="94" t="n"/>
      <c r="D291" s="94" t="n"/>
      <c r="E291" s="94" t="n"/>
      <c r="F291" s="94" t="n"/>
      <c r="G291" s="94" t="n"/>
      <c r="H291" s="94" t="n"/>
      <c r="I291" s="94" t="n"/>
      <c r="J291" s="94" t="n"/>
      <c r="K291" s="94" t="n"/>
    </row>
    <row r="292">
      <c r="A292" s="94" t="n"/>
      <c r="B292" s="86" t="n"/>
      <c r="C292" s="87" t="n"/>
      <c r="D292" s="86" t="n"/>
      <c r="E292" s="87" t="n"/>
      <c r="F292" s="87" t="n"/>
      <c r="G292" s="87" t="n"/>
      <c r="H292" s="86" t="n"/>
      <c r="I292" s="86" t="n"/>
      <c r="J292" s="86" t="n"/>
      <c r="K292" s="94" t="n"/>
    </row>
    <row r="293">
      <c r="A293" s="94" t="n"/>
      <c r="B293" s="88" t="n"/>
      <c r="C293" s="88" t="n"/>
      <c r="D293" s="94" t="n"/>
      <c r="E293" s="94" t="n"/>
      <c r="F293" s="94" t="n"/>
      <c r="G293" s="94" t="n"/>
      <c r="H293" s="89" t="n"/>
      <c r="I293" s="88" t="n"/>
      <c r="J293" s="94" t="n"/>
      <c r="K293" s="94" t="n"/>
    </row>
    <row r="294">
      <c r="A294" s="63" t="n"/>
      <c r="B294" s="71" t="n"/>
      <c r="C294" s="142" t="n"/>
      <c r="D294" s="71" t="n"/>
      <c r="E294" s="71" t="n"/>
      <c r="F294" s="71" t="n"/>
      <c r="G294" s="71" t="n"/>
      <c r="H294" s="141" t="n"/>
      <c r="I294" s="71" t="n"/>
      <c r="J294" s="55" t="n"/>
      <c r="K294" s="94" t="n"/>
    </row>
    <row r="295">
      <c r="A295" s="63" t="n"/>
      <c r="B295" s="71" t="n"/>
      <c r="C295" s="142" t="n"/>
      <c r="D295" s="71" t="n"/>
      <c r="E295" s="71" t="n"/>
      <c r="F295" s="71" t="n"/>
      <c r="G295" s="71" t="n"/>
      <c r="H295" s="141" t="n"/>
      <c r="I295" s="71" t="n"/>
      <c r="J295" s="55" t="n"/>
      <c r="K295" s="94" t="n"/>
    </row>
    <row r="296">
      <c r="A296" s="63" t="n"/>
      <c r="B296" s="71" t="n"/>
      <c r="C296" s="142" t="n"/>
      <c r="D296" s="71" t="n"/>
      <c r="E296" s="71" t="n"/>
      <c r="F296" s="71" t="n"/>
      <c r="G296" s="71" t="n"/>
      <c r="H296" s="141" t="n"/>
      <c r="I296" s="71" t="n"/>
      <c r="J296" s="55" t="n"/>
      <c r="K296" s="94" t="n"/>
    </row>
    <row r="297">
      <c r="A297" s="94" t="n"/>
      <c r="B297" s="94" t="n"/>
      <c r="C297" s="94" t="n"/>
      <c r="D297" s="94" t="n"/>
      <c r="E297" s="94" t="n"/>
      <c r="F297" s="94" t="n"/>
      <c r="G297" s="94" t="n"/>
      <c r="H297" s="89" t="n"/>
      <c r="I297" s="88" t="n"/>
      <c r="J297" s="94" t="n"/>
      <c r="K297" s="94" t="n"/>
    </row>
    <row r="298">
      <c r="A298" s="21" t="n"/>
      <c r="B298" s="94" t="n"/>
      <c r="C298" s="94" t="n"/>
      <c r="D298" s="94" t="n"/>
      <c r="E298" s="94" t="n"/>
      <c r="F298" s="94" t="n"/>
      <c r="G298" s="94" t="n"/>
      <c r="H298" s="141" t="n"/>
      <c r="I298" s="90" t="n"/>
      <c r="J298" s="55" t="n"/>
      <c r="K298" s="94" t="n"/>
    </row>
    <row r="299">
      <c r="A299" s="21" t="n"/>
      <c r="B299" s="91" t="n"/>
      <c r="C299" s="94" t="n"/>
      <c r="D299" s="94" t="n"/>
      <c r="E299" s="94" t="n"/>
      <c r="F299" s="94" t="n"/>
      <c r="G299" s="94" t="n"/>
      <c r="H299" s="145" t="n"/>
      <c r="I299" s="94" t="n"/>
      <c r="J299" s="94" t="n"/>
      <c r="K299" s="94" t="n"/>
    </row>
    <row r="300">
      <c r="A300" s="21" t="n"/>
      <c r="B300" s="91" t="n"/>
      <c r="C300" s="94" t="n"/>
      <c r="D300" s="94" t="n"/>
      <c r="E300" s="94" t="n"/>
      <c r="F300" s="94" t="n"/>
      <c r="G300" s="94" t="n"/>
      <c r="H300" s="145" t="n"/>
      <c r="I300" s="94" t="n"/>
      <c r="J300" s="94" t="n"/>
      <c r="K300" s="94" t="n"/>
    </row>
    <row r="301">
      <c r="A301" s="21" t="n"/>
      <c r="B301" s="94" t="n"/>
      <c r="C301" s="94" t="n"/>
      <c r="D301" s="94" t="n"/>
      <c r="E301" s="94" t="n"/>
      <c r="F301" s="92" t="n"/>
      <c r="G301" s="71" t="n"/>
      <c r="H301" s="146" t="n"/>
      <c r="I301" s="21" t="n"/>
      <c r="J301" s="94" t="n"/>
      <c r="K301" s="94" t="n"/>
    </row>
    <row r="302">
      <c r="A302" s="21" t="n"/>
      <c r="B302" s="94" t="n"/>
      <c r="C302" s="94" t="n"/>
      <c r="D302" s="94" t="n"/>
      <c r="E302" s="94" t="n"/>
      <c r="F302" s="95" t="n"/>
      <c r="G302" s="94" t="n"/>
      <c r="H302" s="71" t="n"/>
      <c r="I302" s="94" t="n"/>
      <c r="J302" s="94" t="n"/>
      <c r="K302" s="94" t="n"/>
    </row>
  </sheetData>
  <mergeCells count="1">
    <mergeCell ref="A1:E1"/>
  </mergeCells>
  <pageMargins bottom="0.75" footer="0.3" header="0.3" left="0.7" right="0.7" top="1.020833333333333"/>
  <pageSetup orientation="portrait" paperSize="9" scale="79"/>
  <headerFooter>
    <oddHeader>&amp;C&amp;"Segoe UI Light,полужирный"&amp;10 РЕСПУБЛИКАНСКОЕ УНИТАРНОЕ ПРЕДПРИЯТИЕ_x000a_«БЕЛОРУССКИЙ ГОСУДАРСТВЕННЫЙ ИНСТИТУТ МЕТРОЛОГИИ»_x000a_(БелГИМ)</oddHeader>
    <oddFooter>&amp;C&amp;"Segoe UI Light,курсив"&amp;8 Страница &amp;P+3 из 5</oddFooter>
    <evenHeader/>
    <evenFooter/>
    <firstHeader/>
    <firstFooter/>
  </headerFooter>
  <colBreaks count="1" manualBreakCount="1">
    <brk id="10" man="1" max="1048575" min="0"/>
  </colBreaks>
</worksheet>
</file>

<file path=xl/worksheets/sheet4.xml><?xml version="1.0" encoding="utf-8"?>
<worksheet xmlns="http://schemas.openxmlformats.org/spreadsheetml/2006/main">
  <sheetPr codeName="Лист5">
    <outlinePr summaryBelow="1" summaryRight="1"/>
    <pageSetUpPr/>
  </sheetPr>
  <dimension ref="A1:U54"/>
  <sheetViews>
    <sheetView topLeftCell="A4" view="pageBreakPreview" workbookViewId="0" zoomScale="145" zoomScaleNormal="100" zoomScaleSheetLayoutView="145">
      <selection activeCell="A12" sqref="A12"/>
    </sheetView>
  </sheetViews>
  <sheetFormatPr baseColWidth="8" defaultRowHeight="10.5"/>
  <cols>
    <col customWidth="1" max="1" min="1" style="94" width="26.875"/>
    <col bestFit="1" customWidth="1" max="2" min="2" style="94" width="11.625"/>
    <col bestFit="1" customWidth="1" max="3" min="3" style="94" width="7.375"/>
    <col bestFit="1" customWidth="1" max="4" min="4" style="94" width="7.75"/>
    <col bestFit="1" customWidth="1" max="5" min="5" style="94" width="3.125"/>
    <col bestFit="1" customWidth="1" max="6" min="6" style="94" width="11.375"/>
    <col bestFit="1" customWidth="1" max="7" min="7" style="94" width="6.75"/>
    <col bestFit="1" customWidth="1" max="8" min="8" style="94" width="12.625"/>
    <col bestFit="1" customWidth="1" max="9" min="9" style="94" width="7.375"/>
    <col bestFit="1" customWidth="1" max="10" min="10" style="94" width="8.125"/>
    <col customWidth="1" max="16384" min="11" style="94" width="9"/>
  </cols>
  <sheetData>
    <row r="1">
      <c r="A1" s="125" t="n"/>
      <c r="F1" s="41" t="n"/>
      <c r="G1" s="40" t="n"/>
    </row>
    <row r="3">
      <c r="A3" s="120" t="n"/>
      <c r="B3" s="120" t="n"/>
      <c r="C3" s="120" t="n"/>
      <c r="D3" s="120" t="n"/>
      <c r="E3" s="120" t="n"/>
      <c r="F3" s="120" t="n"/>
      <c r="G3" s="120" t="n"/>
      <c r="H3" s="120" t="n"/>
      <c r="I3" s="120" t="n"/>
      <c r="J3" s="120" t="n"/>
      <c r="K3" s="94" t="n"/>
      <c r="L3" s="94" t="n"/>
      <c r="M3" s="94" t="n"/>
    </row>
    <row r="4">
      <c r="K4" s="94" t="n"/>
      <c r="L4" s="94" t="n"/>
      <c r="M4" s="94" t="n"/>
    </row>
    <row r="7">
      <c r="F7" s="71" t="n"/>
      <c r="G7" s="71" t="n"/>
    </row>
    <row r="11">
      <c r="A11" s="85" t="inlineStr">
        <is>
          <t>Расчет неопределенности измерения</t>
        </is>
      </c>
      <c r="L11" s="85" t="n"/>
    </row>
    <row r="12">
      <c r="A12" s="85">
        <f>CONCATENATE("Калибруемая отметка:"," ",Измерения!$B$2," ",Измерения!$B$4)</f>
        <v/>
      </c>
      <c r="L12" s="85" t="n"/>
    </row>
    <row customHeight="1" ht="21" r="14" s="73">
      <c r="B14" s="86" t="inlineStr">
        <is>
          <t>Коэффициент Чувствительности</t>
        </is>
      </c>
      <c r="C14" s="87" t="inlineStr">
        <is>
          <t>Величина</t>
        </is>
      </c>
      <c r="D14" s="86" t="inlineStr">
        <is>
          <t>Единица Измерения</t>
        </is>
      </c>
      <c r="E14" s="87" t="inlineStr">
        <is>
          <t>Тип</t>
        </is>
      </c>
      <c r="F14" s="87" t="inlineStr">
        <is>
          <t>Распределение</t>
        </is>
      </c>
      <c r="G14" s="87" t="inlineStr">
        <is>
          <t>Делитель</t>
        </is>
      </c>
      <c r="H14" s="86" t="inlineStr">
        <is>
          <t>Стандартная Неопределённость</t>
        </is>
      </c>
      <c r="I14" s="86" t="inlineStr">
        <is>
          <t>Степени Свободы</t>
        </is>
      </c>
      <c r="J14" s="86" t="inlineStr">
        <is>
          <t>Процентный Вклад</t>
        </is>
      </c>
      <c r="M14" s="86" t="n"/>
      <c r="N14" s="87" t="n"/>
      <c r="O14" s="86" t="n"/>
      <c r="P14" s="87" t="n"/>
      <c r="Q14" s="87" t="n"/>
      <c r="R14" s="87" t="n"/>
      <c r="S14" s="86" t="n"/>
      <c r="T14" s="86" t="n"/>
      <c r="U14" s="86" t="n"/>
    </row>
    <row customHeight="1" ht="14.25" r="15" s="73" thickBot="1">
      <c r="A15" s="7" t="n"/>
      <c r="B15" s="8" t="inlineStr">
        <is>
          <t>(ci)</t>
        </is>
      </c>
      <c r="C15" s="8" t="inlineStr">
        <is>
          <t>(xi)</t>
        </is>
      </c>
      <c r="D15" s="7" t="n"/>
      <c r="E15" s="7" t="n"/>
      <c r="F15" s="7" t="n"/>
      <c r="G15" s="7" t="n"/>
      <c r="H15" s="9" t="inlineStr">
        <is>
          <t>u (xi)</t>
        </is>
      </c>
      <c r="I15" s="8" t="inlineStr">
        <is>
          <t>ʋ</t>
        </is>
      </c>
      <c r="J15" s="7" t="n"/>
      <c r="K15" s="94" t="n"/>
      <c r="L15" s="7" t="n"/>
      <c r="M15" s="8" t="n"/>
      <c r="N15" s="8" t="n"/>
      <c r="O15" s="7" t="n"/>
      <c r="P15" s="7" t="n"/>
      <c r="Q15" s="7" t="n"/>
      <c r="R15" s="7" t="n"/>
      <c r="S15" s="9" t="n"/>
      <c r="T15" s="8" t="n"/>
      <c r="U15" s="7" t="n"/>
    </row>
    <row r="16">
      <c r="A16" s="62" t="inlineStr">
        <is>
          <t>Расчет неопределенности по типу А</t>
        </is>
      </c>
      <c r="B16" s="10" t="n">
        <v>1</v>
      </c>
      <c r="C16" s="140">
        <f>Измерения!$B$39</f>
        <v/>
      </c>
      <c r="D16" s="10" t="inlineStr">
        <is>
          <t>МОм</t>
        </is>
      </c>
      <c r="E16" s="10" t="inlineStr">
        <is>
          <t>A</t>
        </is>
      </c>
      <c r="F16" s="10" t="inlineStr">
        <is>
          <t>Нормальное</t>
        </is>
      </c>
      <c r="G16" s="71">
        <f>IF(F16="Нормальное",1,IF(F16="Нормальное 95%",2,IF(F16="Прямоугольное","√3",IF(F16="Нормальное 99%",2.576,""))))</f>
        <v/>
      </c>
      <c r="H16" s="141">
        <f>ABS((IF(G16="√3",C16*B16/SQRT(3),C16*B16/G16)))</f>
        <v/>
      </c>
      <c r="I16" s="10">
        <f>Измерения!$B$38</f>
        <v/>
      </c>
      <c r="J16" s="35">
        <f>H16/SUM(H16:H18)</f>
        <v/>
      </c>
      <c r="K16" s="94" t="n"/>
      <c r="L16" s="62" t="n"/>
      <c r="M16" s="10" t="n"/>
      <c r="N16" s="140" t="n"/>
      <c r="O16" s="10" t="n"/>
      <c r="P16" s="10" t="n"/>
      <c r="Q16" s="10" t="n"/>
      <c r="R16" s="71" t="n"/>
      <c r="S16" s="141" t="n"/>
      <c r="T16" s="10" t="n"/>
      <c r="U16" s="35" t="n"/>
    </row>
    <row r="17">
      <c r="A17" s="63" t="inlineStr">
        <is>
          <t>Расчет неопределенности по типу B</t>
        </is>
      </c>
      <c r="B17" s="71" t="n">
        <v>1</v>
      </c>
      <c r="C17" s="142">
        <f>0.05*1/100</f>
        <v/>
      </c>
      <c r="D17" s="71" t="inlineStr">
        <is>
          <t>МОм</t>
        </is>
      </c>
      <c r="E17" s="71" t="inlineStr">
        <is>
          <t>B</t>
        </is>
      </c>
      <c r="F17" s="71" t="inlineStr">
        <is>
          <t>Прямоугольное</t>
        </is>
      </c>
      <c r="G17" s="71">
        <f>IF(F17="Нормальное",1,IF(F17="Нормальное 95%",2,IF(F17="Прямоугольное","√3",IF(F17="Нормальное 99%",2.576,""))))</f>
        <v/>
      </c>
      <c r="H17" s="141">
        <f>ABS((IF(G17="√3",C17*B17/SQRT(3),C17*B17/G17)))</f>
        <v/>
      </c>
      <c r="I17" s="71" t="n">
        <v>50</v>
      </c>
      <c r="J17" s="55">
        <f>H17/SUM(H16:H18)</f>
        <v/>
      </c>
      <c r="K17" s="94" t="n"/>
      <c r="L17" s="63" t="n"/>
      <c r="M17" s="71" t="n"/>
      <c r="N17" s="142" t="n"/>
      <c r="O17" s="71" t="n"/>
      <c r="P17" s="71" t="n"/>
      <c r="Q17" s="71" t="n"/>
      <c r="R17" s="71" t="n"/>
      <c r="S17" s="141" t="n"/>
      <c r="T17" s="71" t="n"/>
      <c r="U17" s="55" t="n"/>
    </row>
    <row customHeight="1" ht="21.75" r="18" s="73" thickBot="1">
      <c r="A18" s="64" t="inlineStr">
        <is>
          <t>Поправка, обусловленная погрешностью квантования</t>
        </is>
      </c>
      <c r="B18" s="14" t="n">
        <v>1</v>
      </c>
      <c r="C18" s="143">
        <f>0.1/2</f>
        <v/>
      </c>
      <c r="D18" s="14" t="inlineStr">
        <is>
          <t>МОм</t>
        </is>
      </c>
      <c r="E18" s="14" t="inlineStr">
        <is>
          <t>B</t>
        </is>
      </c>
      <c r="F18" s="14" t="inlineStr">
        <is>
          <t>Прямоугольное</t>
        </is>
      </c>
      <c r="G18" s="14">
        <f>IF(F18="Нормальное 1",1,IF(F18="Нормальное 95%",2,IF(F18="Прямоугольное","√3",IF(F18="Нормальное 99%",2.576,""))))</f>
        <v/>
      </c>
      <c r="H18" s="144">
        <f>ABS((IF(G18="√3",C18*B18/SQRT(3),C18*B18/G18)))</f>
        <v/>
      </c>
      <c r="I18" s="14" t="n">
        <v>50</v>
      </c>
      <c r="J18" s="33">
        <f>H18/SUM(H16:H18)</f>
        <v/>
      </c>
      <c r="K18" s="94" t="n"/>
      <c r="L18" s="64" t="n"/>
      <c r="M18" s="14" t="n"/>
      <c r="N18" s="143" t="n"/>
      <c r="O18" s="14" t="n"/>
      <c r="P18" s="14" t="n"/>
      <c r="Q18" s="14" t="n"/>
      <c r="R18" s="14" t="n"/>
      <c r="S18" s="144" t="n"/>
      <c r="T18" s="14" t="n"/>
      <c r="U18" s="33" t="n"/>
    </row>
    <row customHeight="1" ht="13.5" r="19" s="73">
      <c r="H19" s="89" t="inlineStr">
        <is>
          <t>uc (y)</t>
        </is>
      </c>
      <c r="I19" s="88" t="inlineStr">
        <is>
          <t>ʋeff</t>
        </is>
      </c>
      <c r="S19" s="89" t="n"/>
      <c r="T19" s="88" t="n"/>
    </row>
    <row r="20">
      <c r="A20" s="21" t="inlineStr">
        <is>
          <t>Суммарная неопределённость</t>
        </is>
      </c>
      <c r="H20" s="141">
        <f>SQRT(SUMSQ(H16:H18))</f>
        <v/>
      </c>
      <c r="I20" s="90">
        <f>(H20^4)/((((H16^4))/I16)+(((H17^4))/I17)+(((H18^4))/I18))</f>
        <v/>
      </c>
      <c r="J20" s="55">
        <f>SUM(J16:J18)</f>
        <v/>
      </c>
      <c r="L20" s="21" t="n"/>
      <c r="S20" s="141" t="n"/>
      <c r="T20" s="90" t="n"/>
      <c r="U20" s="55" t="n"/>
    </row>
    <row r="21">
      <c r="A21" s="21" t="inlineStr">
        <is>
          <t>Коэффициент охвата (k), при P = 95.45%</t>
        </is>
      </c>
      <c r="B21" s="91" t="n"/>
      <c r="H21" s="145">
        <f>ABS(NORMSINV((1-95.45%)/2))</f>
        <v/>
      </c>
      <c r="L21" s="21" t="n"/>
      <c r="M21" s="91" t="n"/>
      <c r="S21" s="145" t="n"/>
    </row>
    <row r="22">
      <c r="A22" s="21" t="inlineStr">
        <is>
          <t>Коэффициент охвата (k), при P = 95.45%, из рассчитанных степеней свободы</t>
        </is>
      </c>
      <c r="B22" s="91" t="n"/>
      <c r="H22" s="145">
        <f>TINV(1-95.45%,I20)</f>
        <v/>
      </c>
      <c r="L22" s="21" t="n"/>
      <c r="M22" s="91" t="n"/>
      <c r="S22" s="145" t="n"/>
    </row>
    <row customHeight="1" ht="13.5" r="23" s="73">
      <c r="A23" s="21" t="inlineStr">
        <is>
          <t>Расширенная неопределённость [ kuc(y)]</t>
        </is>
      </c>
      <c r="F23" s="92" t="n"/>
      <c r="G23" s="71" t="n"/>
      <c r="H23" s="146">
        <f>H21*H20</f>
        <v/>
      </c>
      <c r="I23" s="21" t="inlineStr">
        <is>
          <t>МОм</t>
        </is>
      </c>
      <c r="L23" s="21" t="n"/>
      <c r="Q23" s="92" t="n"/>
      <c r="R23" s="71" t="n"/>
      <c r="S23" s="146" t="n"/>
      <c r="T23" s="21" t="n"/>
    </row>
    <row r="24">
      <c r="A24" s="21" t="inlineStr">
        <is>
          <t>Полный результат калибровки [ Y= y ± U ]</t>
        </is>
      </c>
      <c r="B24" s="94" t="n"/>
      <c r="C24" s="94" t="n"/>
      <c r="F24" s="95" t="n"/>
      <c r="H24" s="71">
        <f>"("&amp;FIXED(Измерения!$B$36,1)&amp;" ± "&amp;FIXED(H23,1)&amp;")"&amp;" "&amp;I23</f>
        <v/>
      </c>
      <c r="L24" s="21" t="n"/>
      <c r="M24" s="94" t="n"/>
      <c r="N24" s="94" t="n"/>
      <c r="Q24" s="95" t="n"/>
      <c r="S24" s="71" t="n"/>
    </row>
    <row r="26">
      <c r="B26" s="147" t="n"/>
    </row>
    <row r="27">
      <c r="A27" s="85" t="n"/>
    </row>
    <row customHeight="1" ht="30.75" r="29" s="73">
      <c r="B29" s="86" t="n"/>
      <c r="C29" s="87" t="n"/>
      <c r="D29" s="86" t="n"/>
      <c r="E29" s="87" t="n"/>
      <c r="F29" s="87" t="n"/>
      <c r="G29" s="87" t="n"/>
      <c r="H29" s="86" t="n"/>
      <c r="I29" s="86" t="n"/>
      <c r="J29" s="86" t="n"/>
    </row>
    <row customHeight="1" ht="11.25" r="30" s="73" thickBot="1">
      <c r="A30" s="7" t="n"/>
      <c r="B30" s="8" t="n"/>
      <c r="C30" s="8" t="n"/>
      <c r="D30" s="7" t="n"/>
      <c r="E30" s="7" t="n"/>
      <c r="F30" s="7" t="n"/>
      <c r="G30" s="7" t="n"/>
      <c r="H30" s="9" t="n"/>
      <c r="I30" s="8" t="n"/>
      <c r="J30" s="7" t="n"/>
    </row>
    <row r="31">
      <c r="A31" s="62" t="n"/>
      <c r="B31" s="10" t="n"/>
      <c r="C31" s="140" t="n"/>
      <c r="D31" s="10" t="n"/>
      <c r="E31" s="10" t="n"/>
      <c r="F31" s="10" t="n"/>
      <c r="G31" s="71" t="n"/>
      <c r="H31" s="141" t="n"/>
      <c r="I31" s="10" t="n"/>
      <c r="J31" s="35" t="n"/>
    </row>
    <row customHeight="1" ht="33" r="32" s="73">
      <c r="A32" s="63" t="n"/>
      <c r="B32" s="71" t="n"/>
      <c r="C32" s="142" t="n"/>
      <c r="D32" s="71" t="n"/>
      <c r="E32" s="71" t="n"/>
      <c r="F32" s="71" t="n"/>
      <c r="G32" s="71" t="n"/>
      <c r="H32" s="141" t="n"/>
      <c r="I32" s="71" t="n"/>
      <c r="J32" s="55" t="n"/>
    </row>
    <row customHeight="1" ht="11.25" r="33" s="73" thickBot="1">
      <c r="A33" s="64" t="n"/>
      <c r="B33" s="14" t="n"/>
      <c r="C33" s="143" t="n"/>
      <c r="D33" s="14" t="n"/>
      <c r="E33" s="14" t="n"/>
      <c r="F33" s="14" t="n"/>
      <c r="G33" s="14" t="n"/>
      <c r="H33" s="144" t="n"/>
      <c r="I33" s="14" t="n"/>
      <c r="J33" s="33" t="n"/>
    </row>
    <row r="34">
      <c r="H34" s="89" t="n"/>
      <c r="I34" s="88" t="n"/>
    </row>
    <row r="35">
      <c r="A35" s="21" t="n"/>
      <c r="H35" s="141" t="n"/>
      <c r="I35" s="90" t="n"/>
      <c r="J35" s="55" t="n"/>
    </row>
    <row r="36">
      <c r="A36" s="21" t="n"/>
      <c r="B36" s="91" t="n"/>
      <c r="H36" s="145" t="n"/>
    </row>
    <row r="37">
      <c r="A37" s="21" t="n"/>
      <c r="B37" s="91" t="n"/>
      <c r="H37" s="145" t="n"/>
    </row>
    <row r="38">
      <c r="A38" s="21" t="n"/>
      <c r="F38" s="92" t="n"/>
      <c r="G38" s="71" t="n"/>
      <c r="H38" s="146" t="n"/>
      <c r="I38" s="21" t="n"/>
    </row>
    <row r="39">
      <c r="A39" s="21" t="n"/>
      <c r="B39" s="94" t="n"/>
      <c r="C39" s="94" t="n"/>
      <c r="F39" s="95" t="n"/>
      <c r="H39" s="71" t="n"/>
    </row>
    <row r="42">
      <c r="A42" s="85" t="n"/>
    </row>
    <row customHeight="1" ht="30.75" r="44" s="73">
      <c r="B44" s="86" t="n"/>
      <c r="C44" s="87" t="n"/>
      <c r="D44" s="86" t="n"/>
      <c r="E44" s="87" t="n"/>
      <c r="F44" s="87" t="n"/>
      <c r="G44" s="87" t="n"/>
      <c r="H44" s="86" t="n"/>
      <c r="I44" s="86" t="n"/>
      <c r="J44" s="86" t="n"/>
    </row>
    <row customHeight="1" ht="11.25" r="45" s="73" thickBot="1">
      <c r="A45" s="7" t="n"/>
      <c r="B45" s="8" t="n"/>
      <c r="C45" s="8" t="n"/>
      <c r="D45" s="7" t="n"/>
      <c r="E45" s="7" t="n"/>
      <c r="F45" s="7" t="n"/>
      <c r="G45" s="7" t="n"/>
      <c r="H45" s="9" t="n"/>
      <c r="I45" s="8" t="n"/>
      <c r="J45" s="7" t="n"/>
    </row>
    <row r="46">
      <c r="A46" s="62" t="n"/>
      <c r="B46" s="10" t="n"/>
      <c r="C46" s="140" t="n"/>
      <c r="D46" s="10" t="n"/>
      <c r="E46" s="10" t="n"/>
      <c r="F46" s="10" t="n"/>
      <c r="G46" s="71" t="n"/>
      <c r="H46" s="141" t="n"/>
      <c r="I46" s="10" t="n"/>
      <c r="J46" s="35" t="n"/>
    </row>
    <row customHeight="1" ht="31.5" r="47" s="73">
      <c r="A47" s="63" t="n"/>
      <c r="B47" s="71" t="n"/>
      <c r="C47" s="142" t="n"/>
      <c r="D47" s="71" t="n"/>
      <c r="E47" s="71" t="n"/>
      <c r="F47" s="71" t="n"/>
      <c r="G47" s="71" t="n"/>
      <c r="H47" s="141" t="n"/>
      <c r="I47" s="71" t="n"/>
      <c r="J47" s="55" t="n"/>
    </row>
    <row customHeight="1" ht="11.25" r="48" s="73" thickBot="1">
      <c r="A48" s="64" t="n"/>
      <c r="B48" s="14" t="n"/>
      <c r="C48" s="143" t="n"/>
      <c r="D48" s="14" t="n"/>
      <c r="E48" s="14" t="n"/>
      <c r="F48" s="14" t="n"/>
      <c r="G48" s="14" t="n"/>
      <c r="H48" s="144" t="n"/>
      <c r="I48" s="14" t="n"/>
      <c r="J48" s="33" t="n"/>
    </row>
    <row r="49">
      <c r="H49" s="89" t="n"/>
      <c r="I49" s="88" t="n"/>
    </row>
    <row r="50">
      <c r="A50" s="21" t="n"/>
      <c r="H50" s="141" t="n"/>
      <c r="I50" s="90" t="n"/>
      <c r="J50" s="55" t="n"/>
    </row>
    <row r="51">
      <c r="A51" s="21" t="n"/>
      <c r="B51" s="91" t="n"/>
      <c r="H51" s="145" t="n"/>
    </row>
    <row r="52">
      <c r="A52" s="21" t="n"/>
      <c r="B52" s="91" t="n"/>
      <c r="H52" s="145" t="n"/>
    </row>
    <row r="53">
      <c r="A53" s="21" t="n"/>
      <c r="F53" s="92" t="n"/>
      <c r="G53" s="71" t="n"/>
      <c r="H53" s="146" t="n"/>
      <c r="I53" s="21" t="n"/>
    </row>
    <row r="54">
      <c r="A54" s="21" t="n"/>
      <c r="B54" s="94" t="n"/>
      <c r="C54" s="94" t="n"/>
      <c r="F54" s="95" t="n"/>
      <c r="H54" s="71" t="n"/>
    </row>
  </sheetData>
  <mergeCells count="1">
    <mergeCell ref="A1:E1"/>
  </mergeCells>
  <pageMargins bottom="0.75" footer="0.3" header="0.3" left="0.7" right="0.7" top="1.020833333333333"/>
  <pageSetup orientation="portrait" paperSize="9" scale="79"/>
  <headerFooter alignWithMargins="0">
    <oddHeader>&amp;C&amp;"Segoe UI Light,полужирный"&amp;10 РЕСПУБЛИКАНСКОЕ УНИТАРНОЕ ПРЕДПРИЯТИЕ_x000a_«БЕЛОРУССКИЙ ГОСУДАРСТВЕННЫЙ ИНСТИТУТ МЕТРОЛОГИИ»_x000a_(БелГИМ)</oddHeader>
    <oddFooter>&amp;C&amp;"Segoe UI Light,курсив"&amp;8 Страница &amp;P+2 из 3</oddFooter>
    <evenHeader/>
    <evenFooter/>
    <firstHeader/>
    <firstFooter/>
  </headerFooter>
  <colBreaks count="1" manualBreakCount="1">
    <brk id="10" man="1" max="1048575" min="0"/>
  </colBreaks>
</worksheet>
</file>

<file path=xl/worksheets/sheet5.xml><?xml version="1.0" encoding="utf-8"?>
<worksheet xmlns="http://schemas.openxmlformats.org/spreadsheetml/2006/main">
  <sheetPr codeName="Лист6">
    <outlinePr summaryBelow="1" summaryRight="1"/>
    <pageSetUpPr/>
  </sheetPr>
  <dimension ref="A1:U55"/>
  <sheetViews>
    <sheetView topLeftCell="A13" view="pageBreakPreview" workbookViewId="0" zoomScale="145" zoomScaleNormal="100" zoomScaleSheetLayoutView="145">
      <selection activeCell="A17" sqref="A17:A18"/>
    </sheetView>
  </sheetViews>
  <sheetFormatPr baseColWidth="8" defaultRowHeight="10.5"/>
  <cols>
    <col customWidth="1" max="1" min="1" style="94" width="26.875"/>
    <col bestFit="1" customWidth="1" max="2" min="2" style="94" width="11.625"/>
    <col bestFit="1" customWidth="1" max="3" min="3" style="94" width="7.375"/>
    <col bestFit="1" customWidth="1" max="4" min="4" style="94" width="7.75"/>
    <col bestFit="1" customWidth="1" max="5" min="5" style="94" width="3.125"/>
    <col bestFit="1" customWidth="1" max="6" min="6" style="94" width="11.375"/>
    <col bestFit="1" customWidth="1" max="7" min="7" style="94" width="6.75"/>
    <col bestFit="1" customWidth="1" max="8" min="8" style="94" width="12.625"/>
    <col bestFit="1" customWidth="1" max="9" min="9" style="94" width="7.375"/>
    <col bestFit="1" customWidth="1" max="10" min="10" style="94" width="8.125"/>
    <col customWidth="1" max="16384" min="11" style="94" width="9"/>
  </cols>
  <sheetData>
    <row r="1">
      <c r="A1" s="125" t="n"/>
      <c r="F1" s="41" t="n"/>
      <c r="G1" s="40" t="n"/>
    </row>
    <row r="3">
      <c r="A3" s="120" t="n"/>
      <c r="B3" s="120" t="n"/>
      <c r="C3" s="120" t="n"/>
      <c r="D3" s="120" t="n"/>
      <c r="E3" s="120" t="n"/>
      <c r="F3" s="120" t="n"/>
      <c r="G3" s="120" t="n"/>
      <c r="H3" s="120" t="n"/>
      <c r="I3" s="120" t="n"/>
      <c r="J3" s="120" t="n"/>
      <c r="K3" s="94" t="n"/>
      <c r="L3" s="94" t="n"/>
      <c r="M3" s="94" t="n"/>
    </row>
    <row r="4">
      <c r="K4" s="94" t="n"/>
      <c r="L4" s="94" t="n"/>
      <c r="M4" s="94" t="n"/>
    </row>
    <row r="7">
      <c r="F7" s="71" t="n"/>
      <c r="G7" s="71" t="n"/>
    </row>
    <row r="11">
      <c r="A11" s="85" t="inlineStr">
        <is>
          <t>Расчет неопределенности измерения</t>
        </is>
      </c>
      <c r="L11" s="85" t="n"/>
    </row>
    <row r="12">
      <c r="A12" s="85">
        <f>CONCATENATE("Калибруемая отметка:"," ",Измерения!$B$2," ",Измерения!$B$4)</f>
        <v/>
      </c>
      <c r="L12" s="85" t="n"/>
    </row>
    <row customHeight="1" ht="51.75" r="14" s="73">
      <c r="B14" s="86" t="inlineStr">
        <is>
          <t>Коэффициент Чувствительности</t>
        </is>
      </c>
      <c r="C14" s="87" t="inlineStr">
        <is>
          <t>Величина</t>
        </is>
      </c>
      <c r="D14" s="86" t="inlineStr">
        <is>
          <t>Единица Измерения</t>
        </is>
      </c>
      <c r="E14" s="87" t="inlineStr">
        <is>
          <t>Тип</t>
        </is>
      </c>
      <c r="F14" s="87" t="inlineStr">
        <is>
          <t>Распределение</t>
        </is>
      </c>
      <c r="G14" s="87" t="inlineStr">
        <is>
          <t>Делитель</t>
        </is>
      </c>
      <c r="H14" s="86" t="inlineStr">
        <is>
          <t>Стандартная Неопределённость</t>
        </is>
      </c>
      <c r="I14" s="86" t="inlineStr">
        <is>
          <t>Степени Свободы</t>
        </is>
      </c>
      <c r="J14" s="86" t="inlineStr">
        <is>
          <t>Процентный Вклад</t>
        </is>
      </c>
      <c r="M14" s="86" t="n"/>
      <c r="N14" s="87" t="n"/>
      <c r="O14" s="86" t="n"/>
      <c r="P14" s="87" t="n"/>
      <c r="Q14" s="87" t="n"/>
      <c r="R14" s="87" t="n"/>
      <c r="S14" s="86" t="n"/>
      <c r="T14" s="86" t="n"/>
      <c r="U14" s="86" t="n"/>
    </row>
    <row customHeight="1" ht="14.25" r="15" s="73" thickBot="1">
      <c r="A15" s="7" t="n"/>
      <c r="B15" s="8" t="inlineStr">
        <is>
          <t>(ci)</t>
        </is>
      </c>
      <c r="C15" s="8" t="inlineStr">
        <is>
          <t>(xi)</t>
        </is>
      </c>
      <c r="D15" s="7" t="n"/>
      <c r="E15" s="7" t="n"/>
      <c r="F15" s="7" t="n"/>
      <c r="G15" s="7" t="n"/>
      <c r="H15" s="9" t="inlineStr">
        <is>
          <t>u (xi)</t>
        </is>
      </c>
      <c r="I15" s="8" t="inlineStr">
        <is>
          <t>ʋ</t>
        </is>
      </c>
      <c r="J15" s="7" t="n"/>
      <c r="K15" s="94" t="n"/>
      <c r="L15" s="7" t="n"/>
      <c r="M15" s="8" t="n"/>
      <c r="N15" s="8" t="n"/>
      <c r="O15" s="7" t="n"/>
      <c r="P15" s="7" t="n"/>
      <c r="Q15" s="7" t="n"/>
      <c r="R15" s="7" t="n"/>
      <c r="S15" s="9" t="n"/>
      <c r="T15" s="8" t="n"/>
      <c r="U15" s="7" t="n"/>
    </row>
    <row r="16">
      <c r="A16" s="62" t="inlineStr">
        <is>
          <t>Расчет неопределенности по типу А</t>
        </is>
      </c>
      <c r="B16" s="10" t="n">
        <v>1</v>
      </c>
      <c r="C16" s="140">
        <f>Измерения!$B$39</f>
        <v/>
      </c>
      <c r="D16" s="10" t="inlineStr">
        <is>
          <t>МОм</t>
        </is>
      </c>
      <c r="E16" s="10" t="inlineStr">
        <is>
          <t>A</t>
        </is>
      </c>
      <c r="F16" s="10" t="inlineStr">
        <is>
          <t>Нормальное</t>
        </is>
      </c>
      <c r="G16" s="71">
        <f>IF(F16="Нормальное",1,IF(F16="Нормальное 95%",2,IF(F16="Прямоугольное","√3",IF(F16="Нормальное 99%",2.576,""))))</f>
        <v/>
      </c>
      <c r="H16" s="141">
        <f>ABS((IF(G16="√3",C16*B16/SQRT(3),C16*B16/G16)))</f>
        <v/>
      </c>
      <c r="I16" s="10">
        <f>Измерения!$B$38</f>
        <v/>
      </c>
      <c r="J16" s="35">
        <f>H16/SUM(H16:H19)</f>
        <v/>
      </c>
      <c r="K16" s="94" t="n"/>
      <c r="L16" s="62" t="n"/>
      <c r="M16" s="10" t="n"/>
      <c r="N16" s="140" t="n"/>
      <c r="O16" s="10" t="n"/>
      <c r="P16" s="10" t="n"/>
      <c r="Q16" s="10" t="n"/>
      <c r="R16" s="71" t="n"/>
      <c r="S16" s="141" t="n"/>
      <c r="T16" s="10" t="n"/>
      <c r="U16" s="35" t="n"/>
    </row>
    <row r="17">
      <c r="A17" s="63" t="inlineStr">
        <is>
          <t>Расчет неопределенности по типу B</t>
        </is>
      </c>
      <c r="B17" s="71" t="n">
        <v>1</v>
      </c>
      <c r="C17" s="142">
        <f>Измерения!$B$39</f>
        <v/>
      </c>
      <c r="D17" s="71" t="inlineStr">
        <is>
          <t>МОм</t>
        </is>
      </c>
      <c r="E17" s="71" t="inlineStr">
        <is>
          <t>B</t>
        </is>
      </c>
      <c r="F17" s="71" t="inlineStr">
        <is>
          <t>Прямоугольное</t>
        </is>
      </c>
      <c r="G17" s="71">
        <f>IF(F17="Нормальное",1,IF(F17="Нормальное 95%",2,IF(F17="Прямоугольное","√3",IF(F17="Нормальное 99%",2.576,""))))</f>
        <v/>
      </c>
      <c r="H17" s="141">
        <f>ABS((IF(G17="√3",C17*B17/SQRT(3),C17*B17/G17)))</f>
        <v/>
      </c>
      <c r="I17" s="71" t="n">
        <v>50</v>
      </c>
      <c r="J17" s="55">
        <f>H17/SUM(H16:H19)</f>
        <v/>
      </c>
      <c r="K17" s="94" t="n"/>
      <c r="L17" s="63" t="n"/>
      <c r="M17" s="71" t="n"/>
      <c r="N17" s="142" t="n"/>
      <c r="O17" s="71" t="n"/>
      <c r="P17" s="71" t="n"/>
      <c r="Q17" s="71" t="n"/>
      <c r="R17" s="71" t="n"/>
      <c r="S17" s="141" t="n"/>
      <c r="T17" s="71" t="n"/>
      <c r="U17" s="55" t="n"/>
    </row>
    <row r="18">
      <c r="A18" s="63" t="inlineStr">
        <is>
          <t>Расчет неопределенности по типу B</t>
        </is>
      </c>
      <c r="B18" s="71" t="n">
        <v>1</v>
      </c>
      <c r="C18" s="142">
        <f>0.05*1/100</f>
        <v/>
      </c>
      <c r="D18" s="71" t="inlineStr">
        <is>
          <t>МОм</t>
        </is>
      </c>
      <c r="E18" s="71" t="inlineStr">
        <is>
          <t>B</t>
        </is>
      </c>
      <c r="F18" s="71" t="inlineStr">
        <is>
          <t>Прямоугольное</t>
        </is>
      </c>
      <c r="G18" s="71">
        <f>IF(F18="Нормальное",1,IF(F18="Нормальное 95%",2,IF(F18="Прямоугольное","√3",IF(F18="Нормальное 99%",2.576,""))))</f>
        <v/>
      </c>
      <c r="H18" s="141">
        <f>ABS((IF(G18="√3",C18*B18/SQRT(3),C18*B18/G18)))</f>
        <v/>
      </c>
      <c r="I18" s="71" t="n">
        <v>50</v>
      </c>
      <c r="J18" s="55">
        <f>H18/SUM(H16:H19)</f>
        <v/>
      </c>
      <c r="K18" s="94" t="n"/>
      <c r="L18" s="63" t="n"/>
      <c r="M18" s="71" t="n"/>
      <c r="N18" s="142" t="n"/>
      <c r="O18" s="71" t="n"/>
      <c r="P18" s="71" t="n"/>
      <c r="Q18" s="71" t="n"/>
      <c r="R18" s="71" t="n"/>
      <c r="S18" s="141" t="n"/>
      <c r="T18" s="71" t="n"/>
      <c r="U18" s="55" t="n"/>
    </row>
    <row customHeight="1" ht="21.75" r="19" s="73" thickBot="1">
      <c r="A19" s="64" t="inlineStr">
        <is>
          <t>Поправка, обусловленная погрешностью квантования</t>
        </is>
      </c>
      <c r="B19" s="14" t="n">
        <v>1</v>
      </c>
      <c r="C19" s="143">
        <f>0.1/2</f>
        <v/>
      </c>
      <c r="D19" s="14" t="inlineStr">
        <is>
          <t>МОм</t>
        </is>
      </c>
      <c r="E19" s="14" t="inlineStr">
        <is>
          <t>B</t>
        </is>
      </c>
      <c r="F19" s="14" t="inlineStr">
        <is>
          <t>Прямоугольное</t>
        </is>
      </c>
      <c r="G19" s="14">
        <f>IF(F19="Нормальное 1",1,IF(F19="Нормальное 95%",2,IF(F19="Прямоугольное","√3",IF(F19="Нормальное 99%",2.576,""))))</f>
        <v/>
      </c>
      <c r="H19" s="144">
        <f>ABS((IF(G19="√3",C19*B19/SQRT(3),C19*B19/G19)))</f>
        <v/>
      </c>
      <c r="I19" s="14" t="n">
        <v>50</v>
      </c>
      <c r="J19" s="33">
        <f>H19/SUM(H16:H19)</f>
        <v/>
      </c>
      <c r="K19" s="94" t="n"/>
      <c r="L19" s="64" t="n"/>
      <c r="M19" s="14" t="n"/>
      <c r="N19" s="143" t="n"/>
      <c r="O19" s="14" t="n"/>
      <c r="P19" s="14" t="n"/>
      <c r="Q19" s="14" t="n"/>
      <c r="R19" s="14" t="n"/>
      <c r="S19" s="144" t="n"/>
      <c r="T19" s="14" t="n"/>
      <c r="U19" s="33" t="n"/>
    </row>
    <row customHeight="1" ht="13.5" r="20" s="73">
      <c r="H20" s="89" t="inlineStr">
        <is>
          <t>uc (y)</t>
        </is>
      </c>
      <c r="I20" s="88" t="inlineStr">
        <is>
          <t>ʋeff</t>
        </is>
      </c>
      <c r="S20" s="89" t="n"/>
      <c r="T20" s="88" t="n"/>
    </row>
    <row r="21">
      <c r="A21" s="21" t="inlineStr">
        <is>
          <t>Суммарная неопределённость</t>
        </is>
      </c>
      <c r="H21" s="141">
        <f>SQRT(SUMSQ(H16:H19))</f>
        <v/>
      </c>
      <c r="I21" s="90">
        <f>(H21^4)/((((H16^4))/I16)+(((H18^4))/I18)+(((H19^4))/I19))</f>
        <v/>
      </c>
      <c r="J21" s="55">
        <f>SUM(J16:J19)</f>
        <v/>
      </c>
      <c r="L21" s="21" t="n"/>
      <c r="S21" s="141" t="n"/>
      <c r="T21" s="90" t="n"/>
      <c r="U21" s="55" t="n"/>
    </row>
    <row r="22">
      <c r="A22" s="21" t="inlineStr">
        <is>
          <t>Коэффициент охвата (k), при P = 95.45%</t>
        </is>
      </c>
      <c r="B22" s="91" t="n"/>
      <c r="H22" s="145">
        <f>ABS(NORMSINV((1-95.45%)/2))</f>
        <v/>
      </c>
      <c r="L22" s="21" t="n"/>
      <c r="M22" s="91" t="n"/>
      <c r="S22" s="145" t="n"/>
    </row>
    <row r="23">
      <c r="A23" s="21" t="inlineStr">
        <is>
          <t>Коэффициент охвата (k), при P = 95.45%, из рассчитанных степеней свободы</t>
        </is>
      </c>
      <c r="B23" s="91" t="n"/>
      <c r="H23" s="145">
        <f>TINV(1-95.45%,I21)</f>
        <v/>
      </c>
      <c r="L23" s="21" t="n"/>
      <c r="M23" s="91" t="n"/>
      <c r="S23" s="145" t="n"/>
    </row>
    <row customHeight="1" ht="13.5" r="24" s="73">
      <c r="A24" s="21" t="inlineStr">
        <is>
          <t>Расширенная неопределённость [ kuc(y)]</t>
        </is>
      </c>
      <c r="F24" s="92" t="n"/>
      <c r="G24" s="71" t="n"/>
      <c r="H24" s="146">
        <f>H22*H21</f>
        <v/>
      </c>
      <c r="I24" s="21" t="inlineStr">
        <is>
          <t>МОм</t>
        </is>
      </c>
      <c r="L24" s="21" t="n"/>
      <c r="Q24" s="92" t="n"/>
      <c r="R24" s="71" t="n"/>
      <c r="S24" s="146" t="n"/>
      <c r="T24" s="21" t="n"/>
    </row>
    <row r="25">
      <c r="A25" s="21" t="inlineStr">
        <is>
          <t>Полный результат калибровки [ Y= y ± U ]</t>
        </is>
      </c>
      <c r="B25" s="94" t="n"/>
      <c r="C25" s="94" t="n"/>
      <c r="F25" s="95" t="n"/>
      <c r="H25" s="71">
        <f>"("&amp;FIXED(Измерения!$B$36,1)&amp;" ± "&amp;FIXED(H24,1)&amp;")"&amp;" "&amp;I24</f>
        <v/>
      </c>
      <c r="L25" s="21" t="n"/>
      <c r="M25" s="94" t="n"/>
      <c r="N25" s="94" t="n"/>
      <c r="Q25" s="95" t="n"/>
      <c r="S25" s="71" t="n"/>
    </row>
    <row r="27">
      <c r="B27" s="147" t="n"/>
    </row>
    <row r="28">
      <c r="A28" s="85" t="n"/>
    </row>
    <row customHeight="1" ht="30.75" r="30" s="73">
      <c r="B30" s="86" t="n"/>
      <c r="C30" s="87" t="n"/>
      <c r="D30" s="86" t="n"/>
      <c r="E30" s="87" t="n"/>
      <c r="F30" s="87" t="n"/>
      <c r="G30" s="87" t="n"/>
      <c r="H30" s="86" t="n"/>
      <c r="I30" s="86" t="n"/>
      <c r="J30" s="86" t="n"/>
    </row>
    <row customHeight="1" ht="11.25" r="31" s="73" thickBot="1">
      <c r="A31" s="7" t="n"/>
      <c r="B31" s="8" t="n"/>
      <c r="C31" s="8" t="n"/>
      <c r="D31" s="7" t="n"/>
      <c r="E31" s="7" t="n"/>
      <c r="F31" s="7" t="n"/>
      <c r="G31" s="7" t="n"/>
      <c r="H31" s="9" t="n"/>
      <c r="I31" s="8" t="n"/>
      <c r="J31" s="7" t="n"/>
    </row>
    <row r="32">
      <c r="A32" s="62" t="n"/>
      <c r="B32" s="10" t="n"/>
      <c r="C32" s="140" t="n"/>
      <c r="D32" s="10" t="n"/>
      <c r="E32" s="10" t="n"/>
      <c r="F32" s="10" t="n"/>
      <c r="G32" s="71" t="n"/>
      <c r="H32" s="141" t="n"/>
      <c r="I32" s="10" t="n"/>
      <c r="J32" s="35" t="n"/>
    </row>
    <row customHeight="1" ht="33" r="33" s="73">
      <c r="A33" s="63" t="n"/>
      <c r="B33" s="71" t="n"/>
      <c r="C33" s="142" t="n"/>
      <c r="D33" s="71" t="n"/>
      <c r="E33" s="71" t="n"/>
      <c r="F33" s="71" t="n"/>
      <c r="G33" s="71" t="n"/>
      <c r="H33" s="141" t="n"/>
      <c r="I33" s="71" t="n"/>
      <c r="J33" s="55" t="n"/>
    </row>
    <row customHeight="1" ht="11.25" r="34" s="73" thickBot="1">
      <c r="A34" s="64" t="n"/>
      <c r="B34" s="14" t="n"/>
      <c r="C34" s="143" t="n"/>
      <c r="D34" s="14" t="n"/>
      <c r="E34" s="14" t="n"/>
      <c r="F34" s="14" t="n"/>
      <c r="G34" s="14" t="n"/>
      <c r="H34" s="144" t="n"/>
      <c r="I34" s="14" t="n"/>
      <c r="J34" s="33" t="n"/>
    </row>
    <row r="35">
      <c r="H35" s="89" t="n"/>
      <c r="I35" s="88" t="n"/>
    </row>
    <row r="36">
      <c r="A36" s="21" t="n"/>
      <c r="H36" s="141" t="n"/>
      <c r="I36" s="90" t="n"/>
      <c r="J36" s="55" t="n"/>
    </row>
    <row r="37">
      <c r="A37" s="21" t="n"/>
      <c r="B37" s="91" t="n"/>
      <c r="H37" s="145" t="n"/>
    </row>
    <row r="38">
      <c r="A38" s="21" t="n"/>
      <c r="B38" s="91" t="n"/>
      <c r="H38" s="145" t="n"/>
    </row>
    <row r="39">
      <c r="A39" s="21" t="n"/>
      <c r="F39" s="92" t="n"/>
      <c r="G39" s="71" t="n"/>
      <c r="H39" s="146" t="n"/>
      <c r="I39" s="21" t="n"/>
    </row>
    <row r="40">
      <c r="A40" s="21" t="n"/>
      <c r="B40" s="94" t="n"/>
      <c r="C40" s="94" t="n"/>
      <c r="F40" s="95" t="n"/>
      <c r="H40" s="71" t="n"/>
    </row>
    <row r="43">
      <c r="A43" s="85" t="n"/>
    </row>
    <row customHeight="1" ht="30.75" r="45" s="73">
      <c r="B45" s="86" t="n"/>
      <c r="C45" s="87" t="n"/>
      <c r="D45" s="86" t="n"/>
      <c r="E45" s="87" t="n"/>
      <c r="F45" s="87" t="n"/>
      <c r="G45" s="87" t="n"/>
      <c r="H45" s="86" t="n"/>
      <c r="I45" s="86" t="n"/>
      <c r="J45" s="86" t="n"/>
    </row>
    <row customHeight="1" ht="11.25" r="46" s="73" thickBot="1">
      <c r="A46" s="7" t="n"/>
      <c r="B46" s="8" t="n"/>
      <c r="C46" s="8" t="n"/>
      <c r="D46" s="7" t="n"/>
      <c r="E46" s="7" t="n"/>
      <c r="F46" s="7" t="n"/>
      <c r="G46" s="7" t="n"/>
      <c r="H46" s="9" t="n"/>
      <c r="I46" s="8" t="n"/>
      <c r="J46" s="7" t="n"/>
    </row>
    <row r="47">
      <c r="A47" s="62" t="n"/>
      <c r="B47" s="10" t="n"/>
      <c r="C47" s="140" t="n"/>
      <c r="D47" s="10" t="n"/>
      <c r="E47" s="10" t="n"/>
      <c r="F47" s="10" t="n"/>
      <c r="G47" s="71" t="n"/>
      <c r="H47" s="141" t="n"/>
      <c r="I47" s="10" t="n"/>
      <c r="J47" s="35" t="n"/>
    </row>
    <row customHeight="1" ht="31.5" r="48" s="73">
      <c r="A48" s="63" t="n"/>
      <c r="B48" s="71" t="n"/>
      <c r="C48" s="142" t="n"/>
      <c r="D48" s="71" t="n"/>
      <c r="E48" s="71" t="n"/>
      <c r="F48" s="71" t="n"/>
      <c r="G48" s="71" t="n"/>
      <c r="H48" s="141" t="n"/>
      <c r="I48" s="71" t="n"/>
      <c r="J48" s="55" t="n"/>
    </row>
    <row customHeight="1" ht="11.25" r="49" s="73" thickBot="1">
      <c r="A49" s="64" t="n"/>
      <c r="B49" s="14" t="n"/>
      <c r="C49" s="143" t="n"/>
      <c r="D49" s="14" t="n"/>
      <c r="E49" s="14" t="n"/>
      <c r="F49" s="14" t="n"/>
      <c r="G49" s="14" t="n"/>
      <c r="H49" s="144" t="n"/>
      <c r="I49" s="14" t="n"/>
      <c r="J49" s="33" t="n"/>
    </row>
    <row r="50">
      <c r="H50" s="89" t="n"/>
      <c r="I50" s="88" t="n"/>
    </row>
    <row r="51">
      <c r="A51" s="21" t="n"/>
      <c r="H51" s="141" t="n"/>
      <c r="I51" s="90" t="n"/>
      <c r="J51" s="55" t="n"/>
    </row>
    <row r="52">
      <c r="A52" s="21" t="n"/>
      <c r="B52" s="91" t="n"/>
      <c r="H52" s="145" t="n"/>
    </row>
    <row r="53">
      <c r="A53" s="21" t="n"/>
      <c r="B53" s="91" t="n"/>
      <c r="H53" s="145" t="n"/>
    </row>
    <row r="54">
      <c r="A54" s="21" t="n"/>
      <c r="F54" s="92" t="n"/>
      <c r="G54" s="71" t="n"/>
      <c r="H54" s="146" t="n"/>
      <c r="I54" s="21" t="n"/>
    </row>
    <row r="55">
      <c r="A55" s="21" t="n"/>
      <c r="B55" s="94" t="n"/>
      <c r="C55" s="94" t="n"/>
      <c r="F55" s="95" t="n"/>
      <c r="H55" s="71" t="n"/>
    </row>
  </sheetData>
  <mergeCells count="1">
    <mergeCell ref="A1:E1"/>
  </mergeCells>
  <pageMargins bottom="0.75" footer="0.3" header="0.3" left="0.7" right="0.7" top="1.020833333333333"/>
  <pageSetup orientation="portrait" paperSize="9" scale="79"/>
  <headerFooter alignWithMargins="0">
    <oddHeader>&amp;C&amp;"Segoe UI Light,полужирный"&amp;10 РЕСПУБЛИКАНСКОЕ УНИТАРНОЕ ПРЕДПРИЯТИЕ_x000a_«БЕЛОРУССКИЙ ГОСУДАРСТВЕННЫЙ ИНСТИТУТ МЕТРОЛОГИИ»_x000a_(БелГИМ)</oddHeader>
    <oddFooter>&amp;C&amp;"Segoe UI Light,курсив"&amp;8 Страница &amp;P+2 из 3</oddFooter>
    <evenHeader/>
    <evenFooter/>
    <firstHeader/>
    <firstFooter/>
  </headerFooter>
  <colBreaks count="1" manualBreakCount="1">
    <brk id="10" man="1" max="1048575" min="0"/>
  </colBreaks>
</worksheet>
</file>

<file path=xl/worksheets/sheet6.xml><?xml version="1.0" encoding="utf-8"?>
<worksheet xmlns="http://schemas.openxmlformats.org/spreadsheetml/2006/main">
  <sheetPr codeName="Лист8">
    <outlinePr summaryBelow="1" summaryRight="1"/>
    <pageSetUpPr/>
  </sheetPr>
  <dimension ref="A1:U56"/>
  <sheetViews>
    <sheetView topLeftCell="A7" view="pageBreakPreview" workbookViewId="0" zoomScale="145" zoomScaleNormal="100" zoomScaleSheetLayoutView="145">
      <selection activeCell="A20" sqref="A20"/>
    </sheetView>
  </sheetViews>
  <sheetFormatPr baseColWidth="8" defaultRowHeight="10.5"/>
  <cols>
    <col customWidth="1" max="1" min="1" style="94" width="26.875"/>
    <col bestFit="1" customWidth="1" max="2" min="2" style="94" width="11.625"/>
    <col bestFit="1" customWidth="1" max="3" min="3" style="94" width="7.375"/>
    <col bestFit="1" customWidth="1" max="4" min="4" style="94" width="7.75"/>
    <col bestFit="1" customWidth="1" max="5" min="5" style="94" width="3.125"/>
    <col bestFit="1" customWidth="1" max="6" min="6" style="94" width="11.375"/>
    <col bestFit="1" customWidth="1" max="7" min="7" style="94" width="6.75"/>
    <col bestFit="1" customWidth="1" max="8" min="8" style="94" width="12.625"/>
    <col bestFit="1" customWidth="1" max="9" min="9" style="94" width="7.375"/>
    <col bestFit="1" customWidth="1" max="10" min="10" style="94" width="8.125"/>
    <col customWidth="1" max="16384" min="11" style="94" width="9"/>
  </cols>
  <sheetData>
    <row r="1">
      <c r="A1" s="125" t="n"/>
      <c r="F1" s="41" t="n"/>
      <c r="G1" s="40" t="n"/>
    </row>
    <row r="3">
      <c r="A3" s="120" t="n"/>
      <c r="B3" s="120" t="n"/>
      <c r="C3" s="120" t="n"/>
      <c r="D3" s="120" t="n"/>
      <c r="E3" s="120" t="n"/>
      <c r="F3" s="120" t="n"/>
      <c r="G3" s="120" t="n"/>
      <c r="H3" s="120" t="n"/>
      <c r="I3" s="120" t="n"/>
      <c r="J3" s="120" t="n"/>
      <c r="K3" s="94" t="n"/>
      <c r="L3" s="94" t="n"/>
      <c r="M3" s="94" t="n"/>
    </row>
    <row r="4">
      <c r="K4" s="94" t="n"/>
      <c r="L4" s="94" t="n"/>
      <c r="M4" s="94" t="n"/>
    </row>
    <row r="7">
      <c r="F7" s="71" t="n"/>
      <c r="G7" s="71" t="n"/>
    </row>
    <row r="11">
      <c r="A11" s="85" t="inlineStr">
        <is>
          <t>Расчет неопределенности измерения</t>
        </is>
      </c>
      <c r="L11" s="85" t="n"/>
    </row>
    <row r="12">
      <c r="A12" s="85">
        <f>CONCATENATE("Калибруемая отметка:"," ",Измерения!$B$2," ",Измерения!$B$4)</f>
        <v/>
      </c>
      <c r="L12" s="85" t="n"/>
    </row>
    <row customHeight="1" ht="21" r="14" s="73">
      <c r="B14" s="86" t="inlineStr">
        <is>
          <t>Коэффициент Чувствительности</t>
        </is>
      </c>
      <c r="C14" s="87" t="inlineStr">
        <is>
          <t>Величина</t>
        </is>
      </c>
      <c r="D14" s="86" t="inlineStr">
        <is>
          <t>Единица Измерения</t>
        </is>
      </c>
      <c r="E14" s="87" t="inlineStr">
        <is>
          <t>Тип</t>
        </is>
      </c>
      <c r="F14" s="87" t="inlineStr">
        <is>
          <t>Распределение</t>
        </is>
      </c>
      <c r="G14" s="87" t="inlineStr">
        <is>
          <t>Делитель</t>
        </is>
      </c>
      <c r="H14" s="86" t="inlineStr">
        <is>
          <t>Стандартная Неопределённость</t>
        </is>
      </c>
      <c r="I14" s="86" t="inlineStr">
        <is>
          <t>Степени Свободы</t>
        </is>
      </c>
      <c r="J14" s="86" t="inlineStr">
        <is>
          <t>Процентный Вклад</t>
        </is>
      </c>
      <c r="M14" s="86" t="n"/>
      <c r="N14" s="87" t="n"/>
      <c r="O14" s="86" t="n"/>
      <c r="P14" s="87" t="n"/>
      <c r="Q14" s="87" t="n"/>
      <c r="R14" s="87" t="n"/>
      <c r="S14" s="86" t="n"/>
      <c r="T14" s="86" t="n"/>
      <c r="U14" s="86" t="n"/>
    </row>
    <row customHeight="1" ht="14.25" r="15" s="73" thickBot="1">
      <c r="A15" s="7" t="n"/>
      <c r="B15" s="8" t="inlineStr">
        <is>
          <t>(ci)</t>
        </is>
      </c>
      <c r="C15" s="8" t="inlineStr">
        <is>
          <t>(xi)</t>
        </is>
      </c>
      <c r="D15" s="7" t="n"/>
      <c r="E15" s="7" t="n"/>
      <c r="F15" s="7" t="n"/>
      <c r="G15" s="7" t="n"/>
      <c r="H15" s="9" t="inlineStr">
        <is>
          <t>u (xi)</t>
        </is>
      </c>
      <c r="I15" s="8" t="inlineStr">
        <is>
          <t>ʋ</t>
        </is>
      </c>
      <c r="J15" s="7" t="n"/>
      <c r="K15" s="94" t="n"/>
      <c r="L15" s="7" t="n"/>
      <c r="M15" s="8" t="n"/>
      <c r="N15" s="8" t="n"/>
      <c r="O15" s="7" t="n"/>
      <c r="P15" s="7" t="n"/>
      <c r="Q15" s="7" t="n"/>
      <c r="R15" s="7" t="n"/>
      <c r="S15" s="9" t="n"/>
      <c r="T15" s="8" t="n"/>
      <c r="U15" s="7" t="n"/>
    </row>
    <row r="16">
      <c r="A16" s="62" t="inlineStr">
        <is>
          <t>Расчет неопределенности по типу А</t>
        </is>
      </c>
      <c r="B16" s="10" t="n">
        <v>1</v>
      </c>
      <c r="C16" s="140">
        <f>Измерения!$B$39</f>
        <v/>
      </c>
      <c r="D16" s="10" t="inlineStr">
        <is>
          <t>МОм</t>
        </is>
      </c>
      <c r="E16" s="10" t="inlineStr">
        <is>
          <t>A</t>
        </is>
      </c>
      <c r="F16" s="10" t="inlineStr">
        <is>
          <t>Нормальное</t>
        </is>
      </c>
      <c r="G16" s="71">
        <f>IF(F16="Нормальное",1,IF(F16="Нормальное 95%",2,IF(F16="Прямоугольное","√3",IF(F16="Нормальное 99%",2.576,""))))</f>
        <v/>
      </c>
      <c r="H16" s="141">
        <f>ABS((IF(G16="√3",C16*B16/SQRT(3),C16*B16/G16)))</f>
        <v/>
      </c>
      <c r="I16" s="10">
        <f>Измерения!$B$38</f>
        <v/>
      </c>
      <c r="J16" s="35">
        <f>H16/SUM(H16:H20)</f>
        <v/>
      </c>
      <c r="K16" s="94" t="n"/>
      <c r="L16" s="62" t="n"/>
      <c r="M16" s="10" t="n"/>
      <c r="N16" s="140" t="n"/>
      <c r="O16" s="10" t="n"/>
      <c r="P16" s="10" t="n"/>
      <c r="Q16" s="10" t="n"/>
      <c r="R16" s="71" t="n"/>
      <c r="S16" s="141" t="n"/>
      <c r="T16" s="10" t="n"/>
      <c r="U16" s="35" t="n"/>
    </row>
    <row r="17">
      <c r="A17" s="63" t="inlineStr">
        <is>
          <t>Расчет неопределенности по типу B</t>
        </is>
      </c>
      <c r="B17" s="71" t="n">
        <v>1</v>
      </c>
      <c r="C17" s="142">
        <f>Измерения!$B$39</f>
        <v/>
      </c>
      <c r="D17" s="71" t="inlineStr">
        <is>
          <t>МОм</t>
        </is>
      </c>
      <c r="E17" s="71" t="inlineStr">
        <is>
          <t>B</t>
        </is>
      </c>
      <c r="F17" s="71" t="inlineStr">
        <is>
          <t>Прямоугольное</t>
        </is>
      </c>
      <c r="G17" s="71">
        <f>IF(F17="Нормальное",1,IF(F17="Нормальное 95%",2,IF(F17="Прямоугольное","√3",IF(F17="Нормальное 99%",2.576,""))))</f>
        <v/>
      </c>
      <c r="H17" s="141">
        <f>ABS((IF(G17="√3",C17*B17/SQRT(3),C17*B17/G17)))</f>
        <v/>
      </c>
      <c r="I17" s="71" t="n">
        <v>50</v>
      </c>
      <c r="J17" s="55">
        <f>H17/SUM(H16:H20)</f>
        <v/>
      </c>
      <c r="K17" s="94" t="n"/>
      <c r="L17" s="63" t="n"/>
      <c r="M17" s="71" t="n"/>
      <c r="N17" s="142" t="n"/>
      <c r="O17" s="71" t="n"/>
      <c r="P17" s="71" t="n"/>
      <c r="Q17" s="71" t="n"/>
      <c r="R17" s="71" t="n"/>
      <c r="S17" s="141" t="n"/>
      <c r="T17" s="71" t="n"/>
      <c r="U17" s="55" t="n"/>
    </row>
    <row r="18">
      <c r="A18" s="63" t="inlineStr">
        <is>
          <t>Расчет неопределенности по типу B</t>
        </is>
      </c>
      <c r="B18" s="71" t="n">
        <v>1</v>
      </c>
      <c r="C18" s="142">
        <f>0.05*1/100</f>
        <v/>
      </c>
      <c r="D18" s="71" t="inlineStr">
        <is>
          <t>МОм</t>
        </is>
      </c>
      <c r="E18" s="71" t="inlineStr">
        <is>
          <t>B</t>
        </is>
      </c>
      <c r="F18" s="71" t="inlineStr">
        <is>
          <t>Прямоугольное</t>
        </is>
      </c>
      <c r="G18" s="71">
        <f>IF(F18="Нормальное",1,IF(F18="Нормальное 95%",2,IF(F18="Прямоугольное","√3",IF(F18="Нормальное 99%",2.576,""))))</f>
        <v/>
      </c>
      <c r="H18" s="141">
        <f>ABS((IF(G18="√3",C18*B18/SQRT(3),C18*B18/G18)))</f>
        <v/>
      </c>
      <c r="I18" s="71" t="n">
        <v>50</v>
      </c>
      <c r="J18" s="55">
        <f>H18/SUM(H16:H20)</f>
        <v/>
      </c>
      <c r="K18" s="94" t="n"/>
      <c r="L18" s="63" t="n"/>
      <c r="M18" s="71" t="n"/>
      <c r="N18" s="142" t="n"/>
      <c r="O18" s="71" t="n"/>
      <c r="P18" s="71" t="n"/>
      <c r="Q18" s="71" t="n"/>
      <c r="R18" s="71" t="n"/>
      <c r="S18" s="141" t="n"/>
      <c r="T18" s="71" t="n"/>
      <c r="U18" s="55" t="n"/>
    </row>
    <row r="19">
      <c r="A19" s="63" t="inlineStr">
        <is>
          <t>Расчет неопределенности по типу B</t>
        </is>
      </c>
      <c r="B19" s="71" t="n">
        <v>1</v>
      </c>
      <c r="C19" s="142">
        <f>0.1/2</f>
        <v/>
      </c>
      <c r="D19" s="71" t="inlineStr">
        <is>
          <t>МОм</t>
        </is>
      </c>
      <c r="E19" s="71" t="inlineStr">
        <is>
          <t>B</t>
        </is>
      </c>
      <c r="F19" s="71" t="inlineStr">
        <is>
          <t>Прямоугольное</t>
        </is>
      </c>
      <c r="G19" s="71">
        <f>IF(F19="Нормальное",1,IF(F19="Нормальное 95%",2,IF(F19="Прямоугольное","√3",IF(F19="Нормальное 99%",2.576,""))))</f>
        <v/>
      </c>
      <c r="H19" s="141">
        <f>ABS((IF(G19="√3",C19*B19/SQRT(3),C19*B19/G19)))</f>
        <v/>
      </c>
      <c r="I19" s="71" t="n">
        <v>50</v>
      </c>
      <c r="J19" s="55">
        <f>H19/SUM(H16:H20)</f>
        <v/>
      </c>
      <c r="K19" s="94" t="n"/>
      <c r="L19" s="63" t="n"/>
      <c r="M19" s="71" t="n"/>
      <c r="N19" s="142" t="n"/>
      <c r="O19" s="71" t="n"/>
      <c r="P19" s="71" t="n"/>
      <c r="Q19" s="71" t="n"/>
      <c r="R19" s="71" t="n"/>
      <c r="S19" s="141" t="n"/>
      <c r="T19" s="71" t="n"/>
      <c r="U19" s="55" t="n"/>
    </row>
    <row customHeight="1" ht="21.75" r="20" s="73" thickBot="1">
      <c r="A20" s="64" t="inlineStr">
        <is>
          <t>Поправка, обусловленная погрешностью квантования</t>
        </is>
      </c>
      <c r="B20" s="14" t="n">
        <v>1</v>
      </c>
      <c r="C20" s="143">
        <f>0.1/2</f>
        <v/>
      </c>
      <c r="D20" s="14" t="inlineStr">
        <is>
          <t>МОм</t>
        </is>
      </c>
      <c r="E20" s="14" t="inlineStr">
        <is>
          <t>B</t>
        </is>
      </c>
      <c r="F20" s="14" t="inlineStr">
        <is>
          <t>Прямоугольное</t>
        </is>
      </c>
      <c r="G20" s="14">
        <f>IF(F20="Нормальное 1",1,IF(F20="Нормальное 95%",2,IF(F20="Прямоугольное","√3",IF(F20="Нормальное 99%",2.576,""))))</f>
        <v/>
      </c>
      <c r="H20" s="144">
        <f>ABS((IF(G20="√3",C20*B20/SQRT(3),C20*B20/G20)))</f>
        <v/>
      </c>
      <c r="I20" s="14" t="n">
        <v>50</v>
      </c>
      <c r="J20" s="33">
        <f>H20/SUM(H16:H20)</f>
        <v/>
      </c>
      <c r="K20" s="94" t="n"/>
      <c r="L20" s="64" t="n"/>
      <c r="M20" s="14" t="n"/>
      <c r="N20" s="143" t="n"/>
      <c r="O20" s="14" t="n"/>
      <c r="P20" s="14" t="n"/>
      <c r="Q20" s="14" t="n"/>
      <c r="R20" s="14" t="n"/>
      <c r="S20" s="144" t="n"/>
      <c r="T20" s="14" t="n"/>
      <c r="U20" s="33" t="n"/>
    </row>
    <row customHeight="1" ht="13.5" r="21" s="73">
      <c r="H21" s="89" t="inlineStr">
        <is>
          <t>uc (y)</t>
        </is>
      </c>
      <c r="I21" s="88" t="inlineStr">
        <is>
          <t>ʋeff</t>
        </is>
      </c>
      <c r="S21" s="89" t="n"/>
      <c r="T21" s="88" t="n"/>
    </row>
    <row r="22">
      <c r="A22" s="21" t="inlineStr">
        <is>
          <t>Суммарная неопределённость</t>
        </is>
      </c>
      <c r="H22" s="141">
        <f>SQRT(SUMSQ(H16:H20))</f>
        <v/>
      </c>
      <c r="I22" s="90">
        <f>(H22^4)/((((H16^4))/I16)+(((H18^4))/I18)+(((H20^4))/I20))</f>
        <v/>
      </c>
      <c r="J22" s="55">
        <f>SUM(J16:J20)</f>
        <v/>
      </c>
      <c r="L22" s="21" t="n"/>
      <c r="S22" s="141" t="n"/>
      <c r="T22" s="90" t="n"/>
      <c r="U22" s="55" t="n"/>
    </row>
    <row r="23">
      <c r="A23" s="21" t="inlineStr">
        <is>
          <t>Коэффициент охвата (k), при P = 95.45%</t>
        </is>
      </c>
      <c r="B23" s="91" t="n"/>
      <c r="H23" s="145">
        <f>ABS(NORMSINV((1-95.45%)/2))</f>
        <v/>
      </c>
      <c r="L23" s="21" t="n"/>
      <c r="M23" s="91" t="n"/>
      <c r="S23" s="145" t="n"/>
    </row>
    <row r="24">
      <c r="A24" s="21" t="inlineStr">
        <is>
          <t>Коэффициент охвата (k), при P = 95.45%, из рассчитанных степеней свободы</t>
        </is>
      </c>
      <c r="B24" s="91" t="n"/>
      <c r="H24" s="145">
        <f>TINV(1-95.45%,I22)</f>
        <v/>
      </c>
      <c r="L24" s="21" t="n"/>
      <c r="M24" s="91" t="n"/>
      <c r="S24" s="145" t="n"/>
    </row>
    <row customHeight="1" ht="13.5" r="25" s="73">
      <c r="A25" s="21" t="inlineStr">
        <is>
          <t>Расширенная неопределённость [ kuc(y)]</t>
        </is>
      </c>
      <c r="F25" s="92" t="n"/>
      <c r="G25" s="71" t="n"/>
      <c r="H25" s="146">
        <f>H23*H22</f>
        <v/>
      </c>
      <c r="I25" s="21" t="inlineStr">
        <is>
          <t>МОм</t>
        </is>
      </c>
      <c r="L25" s="21" t="n"/>
      <c r="Q25" s="92" t="n"/>
      <c r="R25" s="71" t="n"/>
      <c r="S25" s="146" t="n"/>
      <c r="T25" s="21" t="n"/>
    </row>
    <row r="26">
      <c r="A26" s="21" t="inlineStr">
        <is>
          <t>Полный результат калибровки [ Y= y ± U ]</t>
        </is>
      </c>
      <c r="B26" s="94" t="n"/>
      <c r="C26" s="94" t="n"/>
      <c r="F26" s="95" t="n"/>
      <c r="H26" s="71">
        <f>"("&amp;FIXED(Измерения!$B$36,1)&amp;" ± "&amp;FIXED(H25,1)&amp;")"&amp;" "&amp;I25</f>
        <v/>
      </c>
      <c r="L26" s="21" t="n"/>
      <c r="M26" s="94" t="n"/>
      <c r="N26" s="94" t="n"/>
      <c r="Q26" s="95" t="n"/>
      <c r="S26" s="71" t="n"/>
    </row>
    <row r="28">
      <c r="B28" s="147" t="n"/>
    </row>
    <row r="29">
      <c r="A29" s="85" t="n"/>
    </row>
    <row customHeight="1" ht="30.75" r="31" s="73">
      <c r="B31" s="86" t="n"/>
      <c r="C31" s="87" t="n"/>
      <c r="D31" s="86" t="n"/>
      <c r="E31" s="87" t="n"/>
      <c r="F31" s="87" t="n"/>
      <c r="G31" s="87" t="n"/>
      <c r="H31" s="86" t="n"/>
      <c r="I31" s="86" t="n"/>
      <c r="J31" s="86" t="n"/>
    </row>
    <row customHeight="1" ht="11.25" r="32" s="73" thickBot="1">
      <c r="A32" s="7" t="n"/>
      <c r="B32" s="8" t="n"/>
      <c r="C32" s="8" t="n"/>
      <c r="D32" s="7" t="n"/>
      <c r="E32" s="7" t="n"/>
      <c r="F32" s="7" t="n"/>
      <c r="G32" s="7" t="n"/>
      <c r="H32" s="9" t="n"/>
      <c r="I32" s="8" t="n"/>
      <c r="J32" s="7" t="n"/>
    </row>
    <row r="33">
      <c r="A33" s="62" t="n"/>
      <c r="B33" s="10" t="n"/>
      <c r="C33" s="140" t="n"/>
      <c r="D33" s="10" t="n"/>
      <c r="E33" s="10" t="n"/>
      <c r="F33" s="10" t="n"/>
      <c r="G33" s="71" t="n"/>
      <c r="H33" s="141" t="n"/>
      <c r="I33" s="10" t="n"/>
      <c r="J33" s="35" t="n"/>
    </row>
    <row customHeight="1" ht="33" r="34" s="73">
      <c r="A34" s="63" t="n"/>
      <c r="B34" s="71" t="n"/>
      <c r="C34" s="142" t="n"/>
      <c r="D34" s="71" t="n"/>
      <c r="E34" s="71" t="n"/>
      <c r="F34" s="71" t="n"/>
      <c r="G34" s="71" t="n"/>
      <c r="H34" s="141" t="n"/>
      <c r="I34" s="71" t="n"/>
      <c r="J34" s="55" t="n"/>
    </row>
    <row customHeight="1" ht="11.25" r="35" s="73" thickBot="1">
      <c r="A35" s="64" t="n"/>
      <c r="B35" s="14" t="n"/>
      <c r="C35" s="143" t="n"/>
      <c r="D35" s="14" t="n"/>
      <c r="E35" s="14" t="n"/>
      <c r="F35" s="14" t="n"/>
      <c r="G35" s="14" t="n"/>
      <c r="H35" s="144" t="n"/>
      <c r="I35" s="14" t="n"/>
      <c r="J35" s="33" t="n"/>
    </row>
    <row r="36">
      <c r="H36" s="89" t="n"/>
      <c r="I36" s="88" t="n"/>
    </row>
    <row r="37">
      <c r="A37" s="21" t="n"/>
      <c r="H37" s="141" t="n"/>
      <c r="I37" s="90" t="n"/>
      <c r="J37" s="55" t="n"/>
    </row>
    <row r="38">
      <c r="A38" s="21" t="n"/>
      <c r="B38" s="91" t="n"/>
      <c r="H38" s="145" t="n"/>
    </row>
    <row r="39">
      <c r="A39" s="21" t="n"/>
      <c r="B39" s="91" t="n"/>
      <c r="H39" s="145" t="n"/>
    </row>
    <row r="40">
      <c r="A40" s="21" t="n"/>
      <c r="F40" s="92" t="n"/>
      <c r="G40" s="71" t="n"/>
      <c r="H40" s="146" t="n"/>
      <c r="I40" s="21" t="n"/>
    </row>
    <row r="41">
      <c r="A41" s="21" t="n"/>
      <c r="B41" s="94" t="n"/>
      <c r="C41" s="94" t="n"/>
      <c r="F41" s="95" t="n"/>
      <c r="H41" s="71" t="n"/>
    </row>
    <row r="44">
      <c r="A44" s="85" t="n"/>
    </row>
    <row customHeight="1" ht="30.75" r="46" s="73">
      <c r="B46" s="86" t="n"/>
      <c r="C46" s="87" t="n"/>
      <c r="D46" s="86" t="n"/>
      <c r="E46" s="87" t="n"/>
      <c r="F46" s="87" t="n"/>
      <c r="G46" s="87" t="n"/>
      <c r="H46" s="86" t="n"/>
      <c r="I46" s="86" t="n"/>
      <c r="J46" s="86" t="n"/>
    </row>
    <row customHeight="1" ht="11.25" r="47" s="73" thickBot="1">
      <c r="A47" s="7" t="n"/>
      <c r="B47" s="8" t="n"/>
      <c r="C47" s="8" t="n"/>
      <c r="D47" s="7" t="n"/>
      <c r="E47" s="7" t="n"/>
      <c r="F47" s="7" t="n"/>
      <c r="G47" s="7" t="n"/>
      <c r="H47" s="9" t="n"/>
      <c r="I47" s="8" t="n"/>
      <c r="J47" s="7" t="n"/>
    </row>
    <row r="48">
      <c r="A48" s="62" t="n"/>
      <c r="B48" s="10" t="n"/>
      <c r="C48" s="140" t="n"/>
      <c r="D48" s="10" t="n"/>
      <c r="E48" s="10" t="n"/>
      <c r="F48" s="10" t="n"/>
      <c r="G48" s="71" t="n"/>
      <c r="H48" s="141" t="n"/>
      <c r="I48" s="10" t="n"/>
      <c r="J48" s="35" t="n"/>
    </row>
    <row customHeight="1" ht="31.5" r="49" s="73">
      <c r="A49" s="63" t="n"/>
      <c r="B49" s="71" t="n"/>
      <c r="C49" s="142" t="n"/>
      <c r="D49" s="71" t="n"/>
      <c r="E49" s="71" t="n"/>
      <c r="F49" s="71" t="n"/>
      <c r="G49" s="71" t="n"/>
      <c r="H49" s="141" t="n"/>
      <c r="I49" s="71" t="n"/>
      <c r="J49" s="55" t="n"/>
    </row>
    <row customHeight="1" ht="11.25" r="50" s="73" thickBot="1">
      <c r="A50" s="64" t="n"/>
      <c r="B50" s="14" t="n"/>
      <c r="C50" s="143" t="n"/>
      <c r="D50" s="14" t="n"/>
      <c r="E50" s="14" t="n"/>
      <c r="F50" s="14" t="n"/>
      <c r="G50" s="14" t="n"/>
      <c r="H50" s="144" t="n"/>
      <c r="I50" s="14" t="n"/>
      <c r="J50" s="33" t="n"/>
    </row>
    <row r="51">
      <c r="H51" s="89" t="n"/>
      <c r="I51" s="88" t="n"/>
    </row>
    <row r="52">
      <c r="A52" s="21" t="n"/>
      <c r="H52" s="141" t="n"/>
      <c r="I52" s="90" t="n"/>
      <c r="J52" s="55" t="n"/>
    </row>
    <row r="53">
      <c r="A53" s="21" t="n"/>
      <c r="B53" s="91" t="n"/>
      <c r="H53" s="145" t="n"/>
    </row>
    <row r="54">
      <c r="A54" s="21" t="n"/>
      <c r="B54" s="91" t="n"/>
      <c r="H54" s="145" t="n"/>
    </row>
    <row r="55">
      <c r="A55" s="21" t="n"/>
      <c r="F55" s="92" t="n"/>
      <c r="G55" s="71" t="n"/>
      <c r="H55" s="146" t="n"/>
      <c r="I55" s="21" t="n"/>
    </row>
    <row r="56">
      <c r="A56" s="21" t="n"/>
      <c r="B56" s="94" t="n"/>
      <c r="C56" s="94" t="n"/>
      <c r="F56" s="95" t="n"/>
      <c r="H56" s="71" t="n"/>
    </row>
  </sheetData>
  <mergeCells count="1">
    <mergeCell ref="A1:E1"/>
  </mergeCells>
  <pageMargins bottom="0.75" footer="0.3" header="0.3" left="0.7" right="0.7" top="1.020833333333333"/>
  <pageSetup orientation="portrait" paperSize="9" scale="79"/>
  <headerFooter alignWithMargins="0">
    <oddHeader>&amp;C&amp;"Segoe UI Light,полужирный"&amp;10 РЕСПУБЛИКАНСКОЕ УНИТАРНОЕ ПРЕДПРИЯТИЕ_x000a_«БЕЛОРУССКИЙ ГОСУДАРСТВЕННЫЙ ИНСТИТУТ МЕТРОЛОГИИ»_x000a_(БелГИМ)</oddHeader>
    <oddFooter>&amp;C&amp;"Segoe UI Light,курсив"&amp;8 Страница &amp;P+2 из 3</oddFooter>
    <evenHeader/>
    <evenFooter/>
    <firstHeader/>
    <firstFooter/>
  </headerFooter>
  <colBreaks count="1" manualBreakCount="1">
    <brk id="10" man="1" max="1048575" min="0"/>
  </colBreaks>
</worksheet>
</file>

<file path=xl/worksheets/sheet7.xml><?xml version="1.0" encoding="utf-8"?>
<worksheet xmlns="http://schemas.openxmlformats.org/spreadsheetml/2006/main">
  <sheetPr codeName="Лист4">
    <outlinePr summaryBelow="1" summaryRight="1"/>
    <pageSetUpPr/>
  </sheetPr>
  <dimension ref="A1:R42"/>
  <sheetViews>
    <sheetView workbookViewId="0" zoomScale="85" zoomScaleNormal="85" zoomScaleSheetLayoutView="145">
      <selection activeCell="G3" sqref="B2:G3"/>
    </sheetView>
  </sheetViews>
  <sheetFormatPr baseColWidth="8" defaultRowHeight="15.75"/>
  <cols>
    <col customWidth="1" max="1" min="1" style="73" width="19.625"/>
    <col customWidth="1" max="2" min="2" style="73" width="23.75"/>
    <col customWidth="1" max="3" min="3" style="73" width="12.125"/>
    <col customWidth="1" max="4" min="4" style="73" width="14.5"/>
    <col customWidth="1" max="5" min="5" style="73" width="13.75"/>
    <col bestFit="1" customWidth="1" max="6" min="6" style="73" width="15.375"/>
    <col customWidth="1" max="11" min="11" style="73" width="11.5"/>
    <col customWidth="1" max="17" min="17" style="73" width="26"/>
  </cols>
  <sheetData>
    <row customHeight="1" ht="30.75" r="1" s="73">
      <c r="A1" s="46" t="n"/>
      <c r="B1" s="105" t="inlineStr">
        <is>
          <t>Диапазон/Испыт. Напряжение</t>
        </is>
      </c>
      <c r="C1" s="105" t="inlineStr">
        <is>
          <t xml:space="preserve">Калибруемая отметка </t>
        </is>
      </c>
      <c r="D1" s="105" t="inlineStr">
        <is>
          <t>Действительное значение</t>
        </is>
      </c>
      <c r="E1" s="105" t="inlineStr">
        <is>
          <t xml:space="preserve">Абсолютная погрешность </t>
        </is>
      </c>
      <c r="F1" s="105" t="inlineStr">
        <is>
          <t xml:space="preserve">Расширенная неопределённость </t>
        </is>
      </c>
      <c r="G1" s="105" t="inlineStr">
        <is>
          <t>Единица измерения</t>
        </is>
      </c>
      <c r="H1" s="105" t="inlineStr">
        <is>
          <t>invert</t>
        </is>
      </c>
      <c r="I1" s="98" t="n"/>
      <c r="J1" s="98" t="n"/>
      <c r="K1" s="98" t="n"/>
      <c r="O1" s="65" t="inlineStr">
        <is>
          <t>Национальному эталону единицы электрического сопротивления № НЭ РБ 29-16</t>
        </is>
      </c>
    </row>
    <row r="2">
      <c r="A2" s="47" t="n"/>
      <c r="B2" s="84" t="n"/>
      <c r="C2" s="48" t="n"/>
      <c r="D2" s="49" t="n"/>
      <c r="E2" s="49" t="n"/>
      <c r="F2" s="49" t="n"/>
      <c r="G2" s="48" t="n"/>
      <c r="H2" s="106" t="n">
        <v>-1</v>
      </c>
      <c r="I2" s="100" t="n"/>
      <c r="J2" s="100" t="n"/>
      <c r="K2" s="101" t="n"/>
      <c r="O2" s="65" t="inlineStr">
        <is>
          <t>Исходному эталону единиы электрического сопротивления (активного) № НЭ РБ 29-16</t>
        </is>
      </c>
    </row>
    <row r="3">
      <c r="A3" s="47" t="n"/>
      <c r="B3" s="84" t="n"/>
      <c r="C3" s="48" t="n"/>
      <c r="D3" s="49" t="n"/>
      <c r="E3" s="49" t="n"/>
      <c r="F3" s="49" t="n"/>
      <c r="G3" s="48" t="n"/>
      <c r="H3" s="106" t="n">
        <v>-1</v>
      </c>
      <c r="I3" s="100" t="n"/>
      <c r="J3" s="100" t="n"/>
      <c r="K3" s="101" t="n"/>
    </row>
    <row r="4">
      <c r="A4" s="47" t="n"/>
      <c r="B4" s="84" t="n"/>
      <c r="C4" s="48" t="n"/>
      <c r="D4" s="49" t="n"/>
      <c r="E4" s="49" t="n"/>
      <c r="F4" s="49" t="n"/>
      <c r="G4" s="48" t="n"/>
      <c r="H4" s="106" t="n">
        <v>-1</v>
      </c>
      <c r="I4" s="100" t="n"/>
      <c r="J4" s="100" t="n"/>
      <c r="K4" s="101" t="n"/>
    </row>
    <row r="5">
      <c r="A5" s="47" t="n"/>
      <c r="B5" s="84" t="n"/>
      <c r="C5" s="48" t="n"/>
      <c r="D5" s="49" t="n"/>
      <c r="E5" s="49" t="n"/>
      <c r="F5" s="49" t="n"/>
      <c r="G5" s="48" t="n"/>
      <c r="H5" s="106" t="n">
        <v>-1</v>
      </c>
      <c r="I5" s="100" t="n"/>
      <c r="J5" s="100" t="n"/>
      <c r="K5" s="101" t="n"/>
    </row>
    <row r="6">
      <c r="A6" s="83" t="n"/>
      <c r="B6" s="84" t="n"/>
      <c r="C6" s="48" t="n"/>
      <c r="D6" s="49" t="n"/>
      <c r="E6" s="49" t="n"/>
      <c r="F6" s="49" t="n"/>
      <c r="G6" s="48" t="n"/>
      <c r="H6" s="106" t="n">
        <v>-1</v>
      </c>
      <c r="I6" s="100" t="n"/>
      <c r="J6" s="100" t="n"/>
      <c r="K6" s="101" t="n"/>
    </row>
    <row r="7">
      <c r="A7" s="83" t="n"/>
      <c r="B7" s="84" t="n"/>
      <c r="C7" s="48" t="n"/>
      <c r="D7" s="49" t="n"/>
      <c r="E7" s="49" t="n"/>
      <c r="F7" s="49" t="n"/>
      <c r="G7" s="48" t="n"/>
      <c r="H7" s="106" t="n">
        <v>-1</v>
      </c>
      <c r="I7" s="100" t="n"/>
      <c r="J7" s="100" t="n"/>
      <c r="K7" s="101" t="n"/>
    </row>
    <row r="8">
      <c r="A8" s="83" t="n"/>
      <c r="B8" s="84" t="n"/>
      <c r="C8" s="48" t="n"/>
      <c r="D8" s="49" t="n"/>
      <c r="E8" s="49" t="n"/>
      <c r="F8" s="49" t="n"/>
      <c r="G8" s="48" t="n"/>
      <c r="H8" s="106" t="n">
        <v>-1</v>
      </c>
      <c r="I8" s="100" t="n"/>
      <c r="J8" s="100" t="n"/>
      <c r="K8" s="101" t="n"/>
    </row>
    <row r="9">
      <c r="A9" s="83" t="n"/>
      <c r="B9" s="84" t="n"/>
      <c r="C9" s="48" t="n"/>
      <c r="D9" s="49" t="n"/>
      <c r="E9" s="49" t="n"/>
      <c r="F9" s="49" t="n"/>
      <c r="G9" s="48" t="n"/>
      <c r="H9" s="106" t="n">
        <v>-1</v>
      </c>
      <c r="I9" s="100" t="n"/>
      <c r="J9" s="100" t="n"/>
      <c r="K9" s="101" t="n"/>
    </row>
    <row r="10">
      <c r="A10" s="83" t="n"/>
      <c r="B10" s="84" t="n"/>
      <c r="C10" s="48" t="n"/>
      <c r="D10" s="49" t="n"/>
      <c r="E10" s="49" t="n"/>
      <c r="F10" s="49" t="n"/>
      <c r="G10" s="48" t="n"/>
      <c r="H10" s="106" t="n">
        <v>-1</v>
      </c>
      <c r="I10" s="100" t="n"/>
      <c r="J10" s="100" t="n"/>
      <c r="K10" s="101" t="n"/>
      <c r="O10" s="65" t="inlineStr">
        <is>
          <t>Мера Сопротивления Р331 (100 000 Ом)</t>
        </is>
      </c>
      <c r="R10" s="65" t="n">
        <v>121705</v>
      </c>
    </row>
    <row r="11">
      <c r="A11" s="83" t="n"/>
      <c r="B11" s="84" t="n"/>
      <c r="C11" s="48" t="n"/>
      <c r="D11" s="49" t="n"/>
      <c r="E11" s="49" t="n"/>
      <c r="F11" s="49" t="n"/>
      <c r="G11" s="48" t="n"/>
      <c r="H11" s="106" t="n">
        <v>-1</v>
      </c>
      <c r="I11" s="100" t="n"/>
      <c r="J11" s="100" t="n"/>
      <c r="K11" s="101" t="n"/>
      <c r="O11" s="65" t="inlineStr">
        <is>
          <t>Мера Сопротивления Р331 (1000 Ом)</t>
        </is>
      </c>
      <c r="R11" s="65" t="n">
        <v>170396</v>
      </c>
    </row>
    <row r="12">
      <c r="A12" s="83" t="n"/>
      <c r="B12" s="84" t="n"/>
      <c r="C12" s="48" t="n"/>
      <c r="D12" s="49" t="n"/>
      <c r="E12" s="49" t="n"/>
      <c r="F12" s="49" t="n"/>
      <c r="G12" s="48" t="n"/>
      <c r="H12" s="106" t="n">
        <v>-1</v>
      </c>
      <c r="I12" s="100" t="n"/>
      <c r="J12" s="100" t="n"/>
      <c r="K12" s="101" t="n"/>
      <c r="O12" s="65" t="inlineStr">
        <is>
          <t>Мера Сопротивления Р331 (10 000 Ом)</t>
        </is>
      </c>
      <c r="R12" s="65" t="n">
        <v>195158</v>
      </c>
    </row>
    <row r="13">
      <c r="A13" s="83" t="n"/>
      <c r="B13" s="84" t="n"/>
      <c r="C13" s="48" t="n"/>
      <c r="D13" s="49" t="n"/>
      <c r="E13" s="49" t="n"/>
      <c r="F13" s="49" t="n"/>
      <c r="G13" s="48" t="n"/>
      <c r="H13" s="106" t="n">
        <v>-1</v>
      </c>
      <c r="I13" s="100" t="n"/>
      <c r="J13" s="100" t="n"/>
      <c r="K13" s="101" t="n"/>
      <c r="O13" s="65" t="inlineStr">
        <is>
          <t>Мера Сопротивления Р331 (100 Ом)</t>
        </is>
      </c>
      <c r="R13" s="65" t="n">
        <v>208897</v>
      </c>
    </row>
    <row r="14">
      <c r="B14" s="84" t="n"/>
      <c r="C14" s="48" t="n"/>
      <c r="D14" s="49" t="n"/>
      <c r="E14" s="49" t="n"/>
      <c r="F14" s="49" t="n"/>
      <c r="G14" s="48" t="n"/>
      <c r="H14" s="106" t="n">
        <v>-1</v>
      </c>
      <c r="O14" s="65" t="inlineStr">
        <is>
          <t>Мера Сопротивления Р321 (1 Ом)</t>
        </is>
      </c>
      <c r="R14" s="65" t="n">
        <v>191051</v>
      </c>
    </row>
    <row r="15">
      <c r="B15" s="84" t="n"/>
      <c r="C15" s="48" t="n"/>
      <c r="D15" s="49" t="n"/>
      <c r="E15" s="49" t="n"/>
      <c r="F15" s="49" t="n"/>
      <c r="G15" s="48" t="n"/>
      <c r="H15" s="106" t="n">
        <v>-1</v>
      </c>
      <c r="O15" s="65" t="inlineStr">
        <is>
          <t>Мера Сопротивления Р321 (10 Ом)</t>
        </is>
      </c>
      <c r="R15" s="65" t="n">
        <v>180545</v>
      </c>
    </row>
    <row r="16">
      <c r="B16" s="84" t="n"/>
      <c r="C16" s="48" t="n"/>
      <c r="D16" s="49" t="n"/>
      <c r="E16" s="49" t="n"/>
      <c r="F16" s="49" t="n"/>
      <c r="G16" s="48" t="n"/>
      <c r="H16" s="106" t="n">
        <v>-1</v>
      </c>
      <c r="O16" s="65" t="inlineStr">
        <is>
          <t>Мера Сопротивления Р321 (0,1 Ом)</t>
        </is>
      </c>
      <c r="R16" s="65" t="n">
        <v>226474</v>
      </c>
    </row>
    <row r="17">
      <c r="B17" s="84" t="n"/>
      <c r="C17" s="48" t="n"/>
      <c r="D17" s="49" t="n"/>
      <c r="E17" s="49" t="n"/>
      <c r="F17" s="49" t="n"/>
      <c r="G17" s="48" t="n"/>
      <c r="H17" s="106" t="n">
        <v>-1</v>
      </c>
      <c r="O17" s="65" t="inlineStr">
        <is>
          <t>Мера Сопротивления Р321 (0,1 Ом)</t>
        </is>
      </c>
      <c r="R17" s="65" t="n">
        <v>13642</v>
      </c>
    </row>
    <row r="18">
      <c r="B18" s="84" t="n"/>
      <c r="C18" s="48" t="n"/>
      <c r="D18" s="49" t="n"/>
      <c r="E18" s="49" t="n"/>
      <c r="F18" s="49" t="n"/>
      <c r="G18" s="48" t="n"/>
      <c r="H18" s="106" t="n">
        <v>-1</v>
      </c>
      <c r="O18" s="65" t="inlineStr">
        <is>
          <t>Мера Сопротивления Р321 (1 Ом)</t>
        </is>
      </c>
      <c r="R18" s="65" t="n">
        <v>177857</v>
      </c>
    </row>
    <row r="19">
      <c r="B19" s="84" t="n"/>
      <c r="C19" s="48" t="n"/>
      <c r="D19" s="49" t="n"/>
      <c r="E19" s="49" t="n"/>
      <c r="F19" s="49" t="n"/>
      <c r="G19" s="48" t="n"/>
      <c r="H19" s="106" t="n">
        <v>-1</v>
      </c>
      <c r="O19" s="65" t="inlineStr">
        <is>
          <t>Мера Сопротивления Р310 (0,01 Ом)</t>
        </is>
      </c>
      <c r="R19" s="65" t="n">
        <v>155693</v>
      </c>
    </row>
    <row r="20">
      <c r="B20" s="84" t="n"/>
      <c r="C20" s="48" t="n"/>
      <c r="D20" s="49" t="n"/>
      <c r="E20" s="49" t="n"/>
      <c r="F20" s="49" t="n"/>
      <c r="G20" s="48" t="n"/>
      <c r="H20" s="106" t="n">
        <v>-1</v>
      </c>
      <c r="O20" s="65" t="inlineStr">
        <is>
          <t>Мера Сопротивления Р310 (0,001 Ом)</t>
        </is>
      </c>
      <c r="R20" s="65" t="n">
        <v>233285</v>
      </c>
    </row>
    <row r="21">
      <c r="B21" s="84" t="n"/>
      <c r="C21" s="48" t="n"/>
      <c r="D21" s="49" t="n"/>
      <c r="E21" s="49" t="n"/>
      <c r="F21" s="49" t="n"/>
      <c r="G21" s="48" t="n"/>
      <c r="H21" s="106" t="n">
        <v>-1</v>
      </c>
      <c r="O21" s="65" t="inlineStr">
        <is>
          <t>Мера Сопротивления Р310 (0,01 Ом)</t>
        </is>
      </c>
      <c r="R21" s="65" t="n">
        <v>156163</v>
      </c>
    </row>
    <row r="22">
      <c r="B22" s="84" t="n"/>
      <c r="C22" s="48" t="n"/>
      <c r="D22" s="49" t="n"/>
      <c r="E22" s="49" t="n"/>
      <c r="F22" s="49" t="n"/>
      <c r="G22" s="48" t="n"/>
      <c r="H22" s="106" t="n">
        <v>-1</v>
      </c>
      <c r="O22" s="65" t="inlineStr">
        <is>
          <t>Мера Сопротивления Р310 (0,01 Ом)</t>
        </is>
      </c>
      <c r="R22" s="65" t="n">
        <v>102884</v>
      </c>
    </row>
    <row r="23">
      <c r="B23" s="84" t="n"/>
      <c r="C23" s="48" t="n"/>
      <c r="D23" s="49" t="n"/>
      <c r="E23" s="49" t="n"/>
      <c r="F23" s="49" t="n"/>
      <c r="G23" s="48" t="n"/>
      <c r="H23" s="106" t="n">
        <v>-1</v>
      </c>
      <c r="O23" s="65" t="inlineStr">
        <is>
          <t>Калибратор электрического сопротивления  КС-100К5Т</t>
        </is>
      </c>
      <c r="R23" s="65" t="n">
        <v>470073</v>
      </c>
    </row>
    <row r="24">
      <c r="B24" s="84" t="n"/>
      <c r="C24" s="48" t="n"/>
      <c r="D24" s="49" t="n"/>
      <c r="E24" s="49" t="n"/>
      <c r="F24" s="49" t="n"/>
      <c r="G24" s="48" t="n"/>
      <c r="H24" s="106" t="n">
        <v>-1</v>
      </c>
      <c r="O24" s="65" t="inlineStr">
        <is>
          <t>Мера переходного электрического сопротивления Р40115</t>
        </is>
      </c>
      <c r="R24" s="67" t="inlineStr">
        <is>
          <t>015</t>
        </is>
      </c>
    </row>
    <row r="25">
      <c r="B25" s="84" t="n"/>
      <c r="C25" s="48" t="n"/>
      <c r="D25" s="49" t="n"/>
      <c r="E25" s="49" t="n"/>
      <c r="F25" s="49" t="n"/>
      <c r="G25" s="48" t="n"/>
      <c r="H25" s="106" t="n">
        <v>-1</v>
      </c>
      <c r="O25" s="65" t="inlineStr">
        <is>
          <t>Магазин сопротивления 4042</t>
        </is>
      </c>
      <c r="P25" s="65" t="n"/>
      <c r="Q25" s="65" t="n"/>
      <c r="R25" s="65" t="n">
        <v>430</v>
      </c>
    </row>
    <row r="26">
      <c r="B26" s="84" t="n"/>
      <c r="C26" s="48" t="n"/>
      <c r="D26" s="49" t="n"/>
      <c r="E26" s="49" t="n"/>
      <c r="F26" s="49" t="n"/>
      <c r="G26" s="48" t="n"/>
      <c r="H26" s="106" t="n">
        <v>-1</v>
      </c>
      <c r="O26" s="65" t="inlineStr">
        <is>
          <t>Магазин сопротивления 4002</t>
        </is>
      </c>
      <c r="P26" s="65" t="n"/>
      <c r="Q26" s="65" t="n"/>
      <c r="R26" s="65" t="n">
        <v>2784</v>
      </c>
    </row>
    <row r="27">
      <c r="B27" s="84" t="n"/>
      <c r="C27" s="48" t="n"/>
      <c r="D27" s="49" t="n"/>
      <c r="E27" s="49" t="n"/>
      <c r="F27" s="49" t="n"/>
      <c r="G27" s="48" t="n"/>
      <c r="H27" s="106" t="n">
        <v>-1</v>
      </c>
      <c r="O27" s="65" t="inlineStr">
        <is>
          <t>Магазин сопротивления 4830/1</t>
        </is>
      </c>
      <c r="P27" s="65" t="n"/>
      <c r="Q27" s="65" t="n"/>
      <c r="R27" s="65" t="n">
        <v>8502</v>
      </c>
    </row>
    <row r="28">
      <c r="B28" s="84" t="n"/>
      <c r="C28" s="48" t="n"/>
      <c r="D28" s="49" t="n"/>
      <c r="E28" s="49" t="n"/>
      <c r="F28" s="49" t="n"/>
      <c r="G28" s="48" t="n"/>
      <c r="H28" s="106" t="n">
        <v>-1</v>
      </c>
      <c r="O28" s="65" t="inlineStr">
        <is>
          <t>Магазин сопротивления 4830/1</t>
        </is>
      </c>
      <c r="P28" s="65" t="n"/>
      <c r="Q28" s="65" t="n"/>
      <c r="R28" s="67" t="inlineStr">
        <is>
          <t>0984</t>
        </is>
      </c>
    </row>
    <row r="29">
      <c r="B29" s="84" t="n"/>
      <c r="C29" s="48" t="n"/>
      <c r="D29" s="49" t="n"/>
      <c r="E29" s="49" t="n"/>
      <c r="F29" s="49" t="n"/>
      <c r="G29" s="48" t="n"/>
      <c r="H29" s="106" t="n">
        <v>-1</v>
      </c>
      <c r="O29" s="65" t="inlineStr">
        <is>
          <t>Магазин сопротивления 4830/1</t>
        </is>
      </c>
      <c r="P29" s="65" t="n"/>
      <c r="Q29" s="65" t="n"/>
      <c r="R29" s="65" t="n">
        <v>7611</v>
      </c>
    </row>
    <row r="30">
      <c r="B30" s="84" t="n"/>
      <c r="C30" s="48" t="n"/>
      <c r="D30" s="49" t="n"/>
      <c r="E30" s="49" t="n"/>
      <c r="F30" s="49" t="n"/>
      <c r="G30" s="48" t="n"/>
      <c r="H30" s="106" t="n">
        <v>-1</v>
      </c>
      <c r="O30" s="65" t="inlineStr">
        <is>
          <t>Магазин сопротивления 4830/1</t>
        </is>
      </c>
      <c r="P30" s="65" t="n"/>
      <c r="Q30" s="65" t="n"/>
      <c r="R30" s="65" t="n">
        <v>1115</v>
      </c>
    </row>
    <row r="31">
      <c r="B31" s="84" t="n"/>
      <c r="C31" s="48" t="n"/>
      <c r="D31" s="49" t="n"/>
      <c r="E31" s="49" t="n"/>
      <c r="F31" s="49" t="n"/>
      <c r="G31" s="48" t="n"/>
      <c r="H31" s="106" t="n">
        <v>-1</v>
      </c>
      <c r="O31" s="65" t="inlineStr">
        <is>
          <t>Магазин сопротивления 4002</t>
        </is>
      </c>
      <c r="P31" s="65" t="n"/>
      <c r="Q31" s="65" t="n"/>
      <c r="R31" s="65" t="n">
        <v>5847</v>
      </c>
    </row>
    <row r="32">
      <c r="B32" s="84" t="n"/>
      <c r="C32" s="48" t="n"/>
      <c r="D32" s="49" t="n"/>
      <c r="E32" s="49" t="n"/>
      <c r="F32" s="49" t="n"/>
      <c r="G32" s="48" t="n"/>
      <c r="H32" s="106" t="n">
        <v>-1</v>
      </c>
      <c r="O32" s="65" t="inlineStr">
        <is>
          <t>Магазин сопротивления 4002</t>
        </is>
      </c>
      <c r="P32" s="65" t="n"/>
      <c r="Q32" s="65" t="n"/>
      <c r="R32" s="65" t="n">
        <v>5840</v>
      </c>
    </row>
    <row r="33">
      <c r="B33" s="84" t="n"/>
      <c r="C33" s="48" t="n"/>
      <c r="D33" s="49" t="n"/>
      <c r="E33" s="49" t="n"/>
      <c r="F33" s="49" t="n"/>
      <c r="G33" s="48" t="n"/>
      <c r="H33" s="106" t="n">
        <v>-1</v>
      </c>
      <c r="O33" s="65" t="inlineStr">
        <is>
          <t>Магазин электрического сопротивления МС-6-01/1</t>
        </is>
      </c>
      <c r="P33" s="65" t="n"/>
      <c r="Q33" s="65" t="n"/>
      <c r="R33" s="65" t="n">
        <v>312009</v>
      </c>
    </row>
    <row r="34">
      <c r="B34" s="84" t="n"/>
      <c r="C34" s="48" t="n"/>
      <c r="D34" s="49" t="n"/>
      <c r="E34" s="49" t="n"/>
      <c r="F34" s="49" t="n"/>
      <c r="G34" s="48" t="n"/>
      <c r="H34" s="106" t="n">
        <v>-1</v>
      </c>
      <c r="O34" s="65" t="inlineStr">
        <is>
          <t>Блок сопротивлений</t>
        </is>
      </c>
      <c r="P34" s="65" t="n"/>
      <c r="Q34" s="65" t="n"/>
      <c r="R34" s="65" t="n">
        <v>13</v>
      </c>
    </row>
    <row r="35">
      <c r="B35" s="84" t="n"/>
      <c r="C35" s="48" t="n"/>
      <c r="D35" s="49" t="n"/>
      <c r="E35" s="49" t="n"/>
      <c r="F35" s="49" t="n"/>
      <c r="G35" s="48" t="n"/>
      <c r="H35" s="106" t="n">
        <v>-1</v>
      </c>
    </row>
    <row r="36">
      <c r="B36" s="84" t="n"/>
      <c r="C36" s="48" t="n"/>
      <c r="D36" s="49" t="n"/>
      <c r="E36" s="49" t="n"/>
      <c r="F36" s="49" t="n"/>
      <c r="G36" s="48" t="n"/>
      <c r="H36" s="106" t="n">
        <v>-1</v>
      </c>
    </row>
    <row r="37">
      <c r="B37" s="84" t="n"/>
      <c r="C37" s="48" t="n"/>
      <c r="D37" s="49" t="n"/>
      <c r="E37" s="49" t="n"/>
      <c r="F37" s="49" t="n"/>
      <c r="G37" s="48" t="n"/>
      <c r="H37" s="106" t="n">
        <v>-1</v>
      </c>
    </row>
    <row r="38">
      <c r="B38" s="84" t="n"/>
      <c r="C38" s="48" t="n"/>
      <c r="D38" s="49" t="n"/>
      <c r="E38" s="49" t="n"/>
      <c r="F38" s="49" t="n"/>
      <c r="G38" s="48" t="n"/>
      <c r="H38" s="106" t="n">
        <v>-1</v>
      </c>
    </row>
    <row r="39">
      <c r="B39" s="84" t="n"/>
      <c r="C39" s="48" t="n"/>
      <c r="D39" s="49" t="n"/>
      <c r="E39" s="49" t="n"/>
      <c r="F39" s="49" t="n"/>
      <c r="G39" s="48" t="n"/>
      <c r="H39" s="106" t="n">
        <v>-1</v>
      </c>
    </row>
    <row r="40">
      <c r="B40" s="84" t="n"/>
      <c r="C40" s="48" t="n"/>
      <c r="D40" s="49" t="n"/>
      <c r="E40" s="49" t="n"/>
      <c r="F40" s="49" t="n"/>
      <c r="G40" s="48" t="n"/>
      <c r="H40" s="106" t="n">
        <v>-1</v>
      </c>
    </row>
    <row r="41">
      <c r="B41" s="84" t="n"/>
      <c r="C41" s="48" t="n"/>
      <c r="D41" s="49" t="n"/>
      <c r="E41" s="49" t="n"/>
      <c r="F41" s="49" t="n"/>
      <c r="G41" s="48" t="n"/>
      <c r="H41" s="106" t="n">
        <v>-1</v>
      </c>
    </row>
    <row r="42">
      <c r="B42" s="84" t="n"/>
      <c r="C42" s="48" t="n"/>
      <c r="D42" s="49" t="n"/>
      <c r="E42" s="49" t="n"/>
      <c r="F42" s="49" t="n"/>
      <c r="G42" s="48" t="n"/>
      <c r="H42" s="106" t="n">
        <v>-1</v>
      </c>
    </row>
  </sheetData>
  <pageMargins bottom="0.75" footer="0.3" header="0.3" left="0.7" right="0.7" top="0.75"/>
  <pageSetup horizontalDpi="4294967295" orientation="portrait" paperSize="9" verticalDpi="4294967295"/>
</worksheet>
</file>

<file path=xl/worksheets/sheet8.xml><?xml version="1.0" encoding="utf-8"?>
<worksheet xmlns="http://schemas.openxmlformats.org/spreadsheetml/2006/main">
  <sheetPr codeName="Лист7">
    <outlinePr summaryBelow="1" summaryRight="1"/>
    <pageSetUpPr/>
  </sheetPr>
  <dimension ref="A1:E35"/>
  <sheetViews>
    <sheetView workbookViewId="0">
      <selection activeCell="A10" sqref="A10"/>
    </sheetView>
  </sheetViews>
  <sheetFormatPr baseColWidth="8" defaultRowHeight="15.75"/>
  <cols>
    <col customWidth="1" max="1" min="1" style="73" width="23"/>
    <col customWidth="1" max="2" min="2" style="73" width="79.5"/>
    <col customWidth="1" max="4" min="4" style="73" width="44.375"/>
    <col bestFit="1" customWidth="1" max="5" min="5" style="111" width="10.25"/>
  </cols>
  <sheetData>
    <row r="1">
      <c r="A1" s="107" t="inlineStr">
        <is>
          <t>Методики</t>
        </is>
      </c>
      <c r="D1" s="107" t="inlineStr">
        <is>
          <t>номера приборов</t>
        </is>
      </c>
    </row>
    <row r="2">
      <c r="A2" s="108" t="inlineStr">
        <is>
          <t>МРП МК 42 13.204-2015</t>
        </is>
      </c>
      <c r="B2" s="108" t="inlineStr">
        <is>
          <t>Калибраторы универсальные. Методика калибровки</t>
        </is>
      </c>
      <c r="D2" s="65" t="inlineStr">
        <is>
          <t>мера сопротивления Р331 (100 000 Ом) №121705</t>
        </is>
      </c>
      <c r="E2" s="67" t="n"/>
    </row>
    <row customHeight="1" ht="16.5" r="3" s="73">
      <c r="A3" s="108" t="inlineStr">
        <is>
          <t>МРП МК 42 13.205-2015</t>
        </is>
      </c>
      <c r="B3" s="108" t="inlineStr">
        <is>
          <t>Приборы измерительные цифровые напряжения, тока, сопротивления, емкости, частоты. Методика калибровки</t>
        </is>
      </c>
      <c r="D3" s="65" t="inlineStr">
        <is>
          <t>мера сопротивления Р331 (1000 Ом) №170396</t>
        </is>
      </c>
      <c r="E3" s="67" t="n"/>
    </row>
    <row r="4">
      <c r="A4" s="108" t="inlineStr">
        <is>
          <t>МРП МК 42 13.271-2012</t>
        </is>
      </c>
      <c r="B4" s="108" t="inlineStr">
        <is>
          <t>Трансформаторы напряжения измерительные. Методика калибровки</t>
        </is>
      </c>
      <c r="D4" s="65" t="inlineStr">
        <is>
          <t>мера сопротивления Р331 (10 000 Ом) №195158</t>
        </is>
      </c>
      <c r="E4" s="67" t="n"/>
    </row>
    <row r="5">
      <c r="A5" s="108" t="inlineStr">
        <is>
          <t>МРП МК 42 13.328-2013</t>
        </is>
      </c>
      <c r="B5" s="108" t="inlineStr">
        <is>
          <t>Трансформаторы тока. Методика калибровки</t>
        </is>
      </c>
      <c r="D5" s="65" t="inlineStr">
        <is>
          <t>мера сопротивления Р331 (100 Ом) №208897</t>
        </is>
      </c>
      <c r="E5" s="67" t="n"/>
    </row>
    <row r="6">
      <c r="A6" s="108" t="inlineStr">
        <is>
          <t>МРП МК 42 13.329-2013</t>
        </is>
      </c>
      <c r="B6" s="108" t="inlineStr">
        <is>
          <t>Клещи электроизмерительные многофункциональные. Методика калибровки</t>
        </is>
      </c>
      <c r="D6" s="65" t="inlineStr">
        <is>
          <t>мера сопротивления Р321 (1 Ом) №191051</t>
        </is>
      </c>
      <c r="E6" s="67" t="n"/>
    </row>
    <row r="7">
      <c r="A7" s="108" t="inlineStr">
        <is>
          <t>МРП МК 42 13.332-2013</t>
        </is>
      </c>
      <c r="B7" s="108" t="inlineStr">
        <is>
          <t>Устройство тестирующее КТ 3881Е. Методика калибровки</t>
        </is>
      </c>
      <c r="D7" s="65" t="inlineStr">
        <is>
          <t>мера сопротивления Р321 (10 Ом) №180545</t>
        </is>
      </c>
      <c r="E7" s="67" t="n"/>
    </row>
    <row r="8">
      <c r="A8" s="108" t="inlineStr">
        <is>
          <t>МРП МК 42 13.363-2014</t>
        </is>
      </c>
      <c r="B8" s="108" t="inlineStr">
        <is>
          <t>Омметры аналоговые и цифровые, измерители сопротивления заземления. Методика калибровки</t>
        </is>
      </c>
      <c r="D8" s="65" t="inlineStr">
        <is>
          <t>мера сопротивления Р321 (0,1 Ом) №226474</t>
        </is>
      </c>
      <c r="E8" s="67" t="n"/>
    </row>
    <row r="9">
      <c r="A9" s="108" t="inlineStr">
        <is>
          <t>МРП МК 42 13.418-2015</t>
        </is>
      </c>
      <c r="B9" s="108" t="inlineStr">
        <is>
          <t>Измерители электрической емкости. Методика калибровки</t>
        </is>
      </c>
      <c r="D9" s="65" t="inlineStr">
        <is>
          <t>мера сопротивления Р321 (0,1 Ом) №13642</t>
        </is>
      </c>
      <c r="E9" s="67" t="n"/>
    </row>
    <row r="10">
      <c r="A10" s="108" t="inlineStr">
        <is>
          <t>МРП МК 42 13.455-2016</t>
        </is>
      </c>
      <c r="B10" s="108" t="inlineStr">
        <is>
          <t>Высоковольтные установки напряжения переменного и постоянного тока до 100 кВ. Методика калибровки</t>
        </is>
      </c>
      <c r="D10" s="65" t="inlineStr">
        <is>
          <t>мера сопротивления Р321 (1 Ом) №177857</t>
        </is>
      </c>
      <c r="E10" s="67" t="n"/>
    </row>
    <row r="11">
      <c r="A11" s="108" t="inlineStr">
        <is>
          <t>МРП МК 42 13.459-2016</t>
        </is>
      </c>
      <c r="B11" s="108" t="inlineStr">
        <is>
          <t>Устройства для воспроизведения силы переменного тока до 12 кА частотой 50 Гц. Методика калибровки</t>
        </is>
      </c>
      <c r="D11" s="65" t="inlineStr">
        <is>
          <t>мера сопротивления Р310 (0,01 Ом) №155693</t>
        </is>
      </c>
      <c r="E11" s="67" t="n"/>
    </row>
    <row r="12">
      <c r="A12" s="108" t="inlineStr">
        <is>
          <t xml:space="preserve"> МРП МК 100055197.107-2008</t>
        </is>
      </c>
      <c r="B12" s="108" t="inlineStr">
        <is>
          <t>Шунты постоянного тока класса точности 0,2-0,5. Типовая методика калибровки</t>
        </is>
      </c>
      <c r="D12" s="65" t="inlineStr">
        <is>
          <t>мера сопротивления Р310 (0,001 Ом) №233285</t>
        </is>
      </c>
      <c r="E12" s="67" t="n"/>
    </row>
    <row r="13">
      <c r="D13" s="65" t="inlineStr">
        <is>
          <t>мера сопротивления Р310 (0,01 Ом) №156163</t>
        </is>
      </c>
      <c r="E13" s="67" t="n"/>
    </row>
    <row r="14">
      <c r="A14" s="107" t="inlineStr">
        <is>
          <t>Эталоны</t>
        </is>
      </c>
      <c r="D14" s="65" t="inlineStr">
        <is>
          <t>мера сопротивления Р310 (0,01 Ом) №102884</t>
        </is>
      </c>
      <c r="E14" s="67" t="n"/>
    </row>
    <row r="15">
      <c r="A15" s="135" t="inlineStr">
        <is>
          <t>Национальному эталону единиц: времени – секунды, частоты – герца и шкалы времени №01–95</t>
        </is>
      </c>
      <c r="D15" s="65" t="inlineStr">
        <is>
          <t>калибратор электрического сопротивления  КС-100К5Т №470073</t>
        </is>
      </c>
      <c r="E15" s="67" t="n"/>
    </row>
    <row r="16">
      <c r="A16" s="134" t="inlineStr">
        <is>
          <t>~</t>
        </is>
      </c>
      <c r="D16" s="65" t="inlineStr">
        <is>
          <t>Мера-иммитатор Р40115 №015</t>
        </is>
      </c>
      <c r="E16" s="67" t="n"/>
    </row>
    <row r="17">
      <c r="A17" s="135" t="inlineStr">
        <is>
          <t xml:space="preserve"> Национальному эталону единицы напряжения переменного тока в диапазоне частот 10 Гц – 2 ГГц № НЭ РБ 5-01; </t>
        </is>
      </c>
      <c r="D17" s="65" t="inlineStr">
        <is>
          <t>магазин сопротивления 4042 №430</t>
        </is>
      </c>
      <c r="E17" s="67" t="n"/>
    </row>
    <row r="18">
      <c r="A18" s="135" t="inlineStr">
        <is>
          <t>Национальному эталону единицы электрического сопротивления (активного)  № НЭ РБ 33-18;</t>
        </is>
      </c>
      <c r="D18" s="65" t="inlineStr">
        <is>
          <t>магазин сопротивления 4002 №2784</t>
        </is>
      </c>
      <c r="E18" s="67" t="n"/>
    </row>
    <row r="19">
      <c r="A19" s="134" t="inlineStr">
        <is>
          <t>=</t>
        </is>
      </c>
      <c r="D19" s="65" t="inlineStr">
        <is>
          <t>магазин сопротивления 4830/1 №8502</t>
        </is>
      </c>
      <c r="E19" s="67" t="n"/>
    </row>
    <row r="20">
      <c r="A20" s="135" t="inlineStr">
        <is>
          <t>Национальному эталону единицы напряжения - Вольта № НЭ РБ 10-02;</t>
        </is>
      </c>
      <c r="D20" s="65" t="inlineStr">
        <is>
          <t>магазин сопротивления 4830/1 №0984</t>
        </is>
      </c>
      <c r="E20" s="67" t="n"/>
    </row>
    <row r="21">
      <c r="A21" s="135" t="inlineStr">
        <is>
          <t>Национальному эталону единицы электрического сопротивления № НЭ РБ 29-16;</t>
        </is>
      </c>
      <c r="D21" s="65" t="inlineStr">
        <is>
          <t>магазин сопротивления 4830/1 №7611</t>
        </is>
      </c>
      <c r="E21" s="67" t="n"/>
    </row>
    <row r="22">
      <c r="A22" s="135" t="n"/>
      <c r="B22" s="110" t="n"/>
      <c r="D22" s="65" t="inlineStr">
        <is>
          <t>магазин сопротивления 4830/1 №1115</t>
        </is>
      </c>
      <c r="E22" s="67" t="n"/>
    </row>
    <row r="23">
      <c r="A23" s="134" t="inlineStr">
        <is>
          <t>Hi V</t>
        </is>
      </c>
      <c r="D23" s="65" t="inlineStr">
        <is>
          <t>магазин сопротивления 4002 №5847</t>
        </is>
      </c>
      <c r="E23" s="67" t="n"/>
    </row>
    <row customHeight="1" ht="22.5" r="24" s="73">
      <c r="A24" s="136" t="inlineStr">
        <is>
          <t>Государственному первичному специальному эталону РФ единицы электрического напряжения постоянного тока – вольта в диапазоне ±(1…500) кВ ГЭТ 181-2010;</t>
        </is>
      </c>
      <c r="D24" s="65" t="inlineStr">
        <is>
          <t>магазин сопротивления 4002 №5840</t>
        </is>
      </c>
      <c r="E24" s="67" t="n"/>
    </row>
    <row r="25">
      <c r="A25" s="135" t="inlineStr">
        <is>
          <t xml:space="preserve"> </t>
        </is>
      </c>
      <c r="B25" s="110" t="n"/>
      <c r="D25" s="65" t="inlineStr">
        <is>
          <t>магазин электрического сопротивления МС-6-01/1 №312009</t>
        </is>
      </c>
      <c r="E25" s="67" t="n"/>
    </row>
    <row customHeight="1" ht="21.75" r="26" s="73">
      <c r="A26" s="136" t="inlineStr">
        <is>
          <t xml:space="preserve">Государственному первичному специальному эталону РФ единицы электрического напряжения переменного тока промышленной частоты в диапазоне от 1 до 500 кВ ГЭТ 191-2011; </t>
        </is>
      </c>
      <c r="D26" s="65" t="inlineStr">
        <is>
          <t>блок сопротивлений №13</t>
        </is>
      </c>
      <c r="E26" s="67" t="n"/>
    </row>
    <row r="27">
      <c r="D27" s="65" t="inlineStr">
        <is>
          <t>Мера переходного электрического сопротивления  Р40116 №004</t>
        </is>
      </c>
      <c r="E27" s="67" t="n"/>
    </row>
    <row r="28">
      <c r="A28" s="134" t="inlineStr">
        <is>
          <t>Ёмкость</t>
        </is>
      </c>
      <c r="D28" s="65" t="inlineStr">
        <is>
          <t>калибратор Fluke 5502E №2918803</t>
        </is>
      </c>
      <c r="E28" s="67" t="n"/>
    </row>
    <row r="29">
      <c r="A29" s="135" t="inlineStr">
        <is>
          <t>Национальный эдалон единицы электрической емкости №НЭ РБ 19-10</t>
        </is>
      </c>
      <c r="D29" s="65" t="inlineStr">
        <is>
          <t>катушка Fluke 5500A Coil №20081802</t>
        </is>
      </c>
      <c r="E29" s="67" t="n"/>
    </row>
    <row r="30">
      <c r="A30" s="134" t="inlineStr">
        <is>
          <t>мощность</t>
        </is>
      </c>
      <c r="D30" s="65" t="inlineStr">
        <is>
          <t>мультиметр Fluke 28II №29300096</t>
        </is>
      </c>
      <c r="E30" s="67" t="n"/>
    </row>
    <row r="31">
      <c r="A31" s="121" t="inlineStr">
        <is>
          <t>Национальный эталон единицы электрической мощности № НЭ РБ 14-04</t>
        </is>
      </c>
      <c r="D31" s="65" t="inlineStr">
        <is>
          <t>киловольтметр Vitrek 4700 №017755</t>
        </is>
      </c>
      <c r="E31" s="67" t="n"/>
    </row>
    <row r="32">
      <c r="A32" s="134" t="inlineStr">
        <is>
          <t>масштабное преобразование</t>
        </is>
      </c>
      <c r="D32" s="65" t="inlineStr">
        <is>
          <t>мультиметр GDM-78261 №855541</t>
        </is>
      </c>
      <c r="E32" s="67" t="n"/>
    </row>
    <row r="33">
      <c r="A33" s="121" t="inlineStr">
        <is>
          <t>Исходному эталону единицы масштабного преобразования напряжения и силы переменного тока на частоте 50 Гц №ИЭ РБ 11-06</t>
        </is>
      </c>
      <c r="D33" s="65" t="inlineStr">
        <is>
          <t>делитель HVL-100 №019598</t>
        </is>
      </c>
      <c r="E33" s="65" t="n"/>
    </row>
    <row r="34">
      <c r="D34" s="65" t="inlineStr">
        <is>
          <t>мультиметр ZEN-MM31-13 №R180001802</t>
        </is>
      </c>
      <c r="E34" s="65" t="n"/>
    </row>
    <row r="35">
      <c r="D35" s="65" t="inlineStr">
        <is>
          <t>Вольтамперваттметр ЦЛ8516/2 №008</t>
        </is>
      </c>
    </row>
  </sheetData>
  <mergeCells count="14">
    <mergeCell ref="A32:B32"/>
    <mergeCell ref="A15:B15"/>
    <mergeCell ref="A17:B17"/>
    <mergeCell ref="A18:B18"/>
    <mergeCell ref="A20:B20"/>
    <mergeCell ref="A21:B21"/>
    <mergeCell ref="A30:B30"/>
    <mergeCell ref="A23:B23"/>
    <mergeCell ref="A19:B19"/>
    <mergeCell ref="A16:B16"/>
    <mergeCell ref="A29:B29"/>
    <mergeCell ref="A28:B28"/>
    <mergeCell ref="A26:B26"/>
    <mergeCell ref="A24:B24"/>
  </mergeCells>
  <pageMargins bottom="0.75" footer="0.3" header="0.3" left="0.7" right="0.7" top="0.75"/>
  <pageSetup fitToHeight="0" fitToWidth="0" orientation="portrait" paperSize="9" scale="73"/>
</worksheet>
</file>

<file path=xl/worksheets/sheet9.xml><?xml version="1.0" encoding="utf-8"?>
<worksheet xmlns="http://schemas.openxmlformats.org/spreadsheetml/2006/main">
  <sheetPr codeName="Лист14">
    <outlinePr summaryBelow="1" summaryRight="1"/>
    <pageSetUpPr/>
  </sheetPr>
  <dimension ref="A1:Q68"/>
  <sheetViews>
    <sheetView topLeftCell="A13" view="pageBreakPreview" workbookViewId="0" zoomScale="115" zoomScaleNormal="100" zoomScaleSheetLayoutView="115">
      <selection activeCell="F30" sqref="F30"/>
    </sheetView>
  </sheetViews>
  <sheetFormatPr baseColWidth="8" defaultRowHeight="15.75"/>
  <cols>
    <col customWidth="1" max="9" min="9" style="73" width="9"/>
  </cols>
  <sheetData>
    <row r="1">
      <c r="A1" s="94" t="n"/>
      <c r="B1" s="94" t="n"/>
      <c r="C1" s="125" t="inlineStr">
        <is>
          <t>Рабочие записи №</t>
        </is>
      </c>
      <c r="F1" s="41">
        <f>Протокол!F1</f>
        <v/>
      </c>
      <c r="G1" s="40" t="n">
        <v>-42</v>
      </c>
      <c r="H1" s="94" t="n"/>
      <c r="I1" s="94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4" t="n"/>
    </row>
    <row r="3">
      <c r="A3" s="24" t="inlineStr">
        <is>
          <t>Объект калибровки:</t>
        </is>
      </c>
      <c r="B3" s="94" t="n"/>
      <c r="C3" s="94">
        <f>Протокол!C3</f>
        <v/>
      </c>
      <c r="D3" s="94" t="n"/>
      <c r="E3" s="94" t="n"/>
      <c r="F3" s="94" t="n"/>
      <c r="G3" s="94" t="n"/>
      <c r="H3" s="94" t="n"/>
      <c r="I3" s="94" t="n"/>
    </row>
    <row r="4">
      <c r="A4" s="94" t="n"/>
      <c r="B4" s="94" t="n"/>
      <c r="C4" s="59">
        <f>Протокол!C4</f>
        <v/>
      </c>
      <c r="D4" s="59" t="n"/>
      <c r="E4" s="59" t="n"/>
      <c r="F4" s="25" t="n"/>
      <c r="G4" s="25" t="n"/>
      <c r="H4" s="25" t="n"/>
      <c r="I4" s="25" t="n"/>
      <c r="J4" s="25" t="n"/>
      <c r="K4" s="25" t="n"/>
      <c r="L4" s="25" t="n"/>
      <c r="M4" s="25" t="n"/>
      <c r="N4" s="25" t="n"/>
      <c r="O4" s="25" t="n"/>
      <c r="P4" s="25" t="n"/>
      <c r="Q4" s="25" t="n"/>
    </row>
    <row r="5">
      <c r="A5" s="94" t="n"/>
      <c r="B5" s="94" t="n"/>
      <c r="C5" s="94" t="n"/>
      <c r="D5" s="25" t="n"/>
      <c r="E5" s="25" t="n"/>
      <c r="F5" s="25" t="n"/>
      <c r="G5" s="25" t="n"/>
      <c r="H5" s="25" t="n"/>
      <c r="I5" s="25" t="n"/>
      <c r="J5" s="25" t="n"/>
      <c r="K5" s="25" t="n"/>
      <c r="L5" s="25" t="n"/>
      <c r="M5" s="25" t="n"/>
      <c r="N5" s="25" t="n"/>
      <c r="O5" s="25" t="n"/>
      <c r="P5" s="25" t="n"/>
      <c r="Q5" s="25" t="n"/>
    </row>
    <row r="6">
      <c r="A6" s="94" t="inlineStr">
        <is>
          <t>Заводской номер:</t>
        </is>
      </c>
      <c r="B6" s="94" t="n"/>
      <c r="C6" s="59">
        <f>Протокол!C6</f>
        <v/>
      </c>
      <c r="D6" s="59" t="n"/>
      <c r="E6" s="59" t="n"/>
      <c r="F6" s="25" t="n"/>
      <c r="G6" s="25" t="n"/>
      <c r="H6" s="25" t="n"/>
      <c r="I6" s="25" t="n"/>
      <c r="J6" s="25" t="n"/>
      <c r="K6" s="25" t="n"/>
      <c r="L6" s="25" t="n"/>
      <c r="M6" s="25" t="n"/>
      <c r="N6" s="25" t="n"/>
      <c r="O6" s="25" t="n"/>
      <c r="P6" s="25" t="n"/>
      <c r="Q6" s="25" t="n"/>
    </row>
    <row r="7">
      <c r="A7" s="94" t="n"/>
      <c r="B7" s="94" t="n"/>
      <c r="C7" s="94" t="n"/>
      <c r="D7" s="94" t="n"/>
      <c r="E7" s="94" t="n"/>
      <c r="F7" s="25" t="n"/>
      <c r="G7" s="25" t="n"/>
      <c r="H7" s="25" t="n"/>
      <c r="I7" s="25" t="n"/>
      <c r="J7" s="25" t="n"/>
      <c r="K7" s="25" t="n"/>
      <c r="L7" s="25" t="n"/>
      <c r="M7" s="25" t="n"/>
      <c r="N7" s="25" t="n"/>
      <c r="O7" s="25" t="n"/>
      <c r="P7" s="25" t="n"/>
      <c r="Q7" s="25" t="n"/>
    </row>
    <row r="8">
      <c r="A8" s="94" t="inlineStr">
        <is>
          <t>Заказчик:</t>
        </is>
      </c>
      <c r="B8" s="59">
        <f>Протокол!B8</f>
        <v/>
      </c>
      <c r="C8" s="112" t="n"/>
      <c r="D8" s="112" t="n"/>
      <c r="E8" s="112" t="n"/>
      <c r="F8" s="25" t="n"/>
      <c r="G8" s="25" t="n"/>
      <c r="H8" s="25" t="n"/>
      <c r="I8" s="25" t="n"/>
      <c r="J8" s="25" t="n"/>
      <c r="K8" s="25" t="n"/>
      <c r="L8" s="25" t="n"/>
      <c r="M8" s="25" t="n"/>
      <c r="N8" s="25" t="n"/>
      <c r="O8" s="25" t="n"/>
      <c r="P8" s="25" t="n"/>
      <c r="Q8" s="25" t="n"/>
    </row>
    <row r="9">
      <c r="A9" s="94" t="n"/>
      <c r="B9" s="59">
        <f>Протокол!B9</f>
        <v/>
      </c>
      <c r="C9" s="59" t="n"/>
      <c r="D9" s="59" t="n"/>
      <c r="E9" s="59" t="n"/>
      <c r="F9" s="25" t="n"/>
      <c r="G9" s="25" t="n"/>
      <c r="H9" s="25" t="n"/>
      <c r="I9" s="25" t="n"/>
      <c r="J9" s="25" t="n"/>
      <c r="K9" s="25" t="n"/>
      <c r="L9" s="25" t="n"/>
      <c r="M9" s="25" t="n"/>
      <c r="N9" s="25" t="n"/>
      <c r="O9" s="25" t="n"/>
      <c r="P9" s="25" t="n"/>
      <c r="Q9" s="25" t="n"/>
    </row>
    <row r="10">
      <c r="A10" s="94" t="n"/>
      <c r="B10" s="94" t="n"/>
      <c r="C10" s="59" t="n"/>
      <c r="D10" s="59" t="n"/>
      <c r="E10" s="59" t="n"/>
      <c r="F10" s="59" t="n"/>
      <c r="G10" s="59" t="n"/>
      <c r="H10" s="59" t="n"/>
      <c r="I10" s="59" t="n"/>
    </row>
    <row r="11">
      <c r="A11" s="94" t="n"/>
      <c r="B11" s="94" t="n"/>
      <c r="C11" s="87" t="n"/>
      <c r="D11" s="87" t="n"/>
      <c r="E11" s="87" t="n"/>
      <c r="F11" s="87" t="n"/>
      <c r="G11" s="87" t="n"/>
      <c r="H11" s="87" t="n"/>
      <c r="I11" s="87" t="n"/>
    </row>
    <row r="12">
      <c r="A12" s="94" t="inlineStr">
        <is>
          <t>Заявка:</t>
        </is>
      </c>
      <c r="B12" s="94" t="n"/>
      <c r="C12" s="127">
        <f>IF(Протокол!C12="","",Протокол!C12)</f>
        <v/>
      </c>
      <c r="D12" s="127" t="inlineStr">
        <is>
          <t>от</t>
        </is>
      </c>
      <c r="E12" s="60">
        <f>IF(Протокол!E12="","",Протокол!E12)</f>
        <v/>
      </c>
      <c r="F12" s="59" t="n"/>
      <c r="G12" s="59" t="n"/>
      <c r="H12" s="59" t="n"/>
      <c r="I12" s="59" t="n"/>
    </row>
    <row r="13">
      <c r="A13" s="94" t="n"/>
      <c r="B13" s="94" t="n"/>
      <c r="C13" s="94" t="n"/>
      <c r="D13" s="94" t="n"/>
      <c r="E13" s="94" t="n"/>
      <c r="F13" s="94" t="n"/>
      <c r="G13" s="94" t="n"/>
      <c r="H13" s="94" t="n"/>
      <c r="I13" s="94" t="n"/>
    </row>
    <row r="14">
      <c r="A14" s="94" t="inlineStr">
        <is>
          <t>Место проведения калибровки:</t>
        </is>
      </c>
      <c r="B14" s="94" t="n"/>
      <c r="C14" s="127" t="inlineStr">
        <is>
          <t>БелГИМ, л.111</t>
        </is>
      </c>
    </row>
    <row r="15">
      <c r="A15" s="94" t="n"/>
      <c r="B15" s="94" t="n"/>
      <c r="C15" s="94" t="n"/>
      <c r="D15" s="94" t="n"/>
      <c r="E15" s="94" t="n"/>
      <c r="F15" s="94" t="n"/>
      <c r="G15" s="94" t="n"/>
      <c r="H15" s="94" t="n"/>
      <c r="I15" s="94" t="n"/>
    </row>
    <row r="16">
      <c r="A16" s="94" t="inlineStr">
        <is>
          <t xml:space="preserve">Дата калибровки: </t>
        </is>
      </c>
      <c r="B16" s="94" t="n"/>
      <c r="C16" s="26" t="inlineStr">
        <is>
          <t xml:space="preserve">начало </t>
        </is>
      </c>
      <c r="D16" s="114">
        <f>Протокол!D16</f>
        <v/>
      </c>
      <c r="E16" s="27" t="n"/>
      <c r="F16" s="24" t="inlineStr">
        <is>
          <t>окончание</t>
        </is>
      </c>
      <c r="G16" s="114">
        <f>Протокол!G16</f>
        <v/>
      </c>
      <c r="H16" s="94" t="n"/>
      <c r="I16" s="27" t="n"/>
    </row>
    <row r="17">
      <c r="A17" s="131" t="inlineStr">
        <is>
          <t>Дата выдачи свидетельства</t>
        </is>
      </c>
      <c r="C17" s="94" t="n"/>
      <c r="D17" s="114">
        <f>Протокол!D17</f>
        <v/>
      </c>
      <c r="E17" s="114" t="n"/>
      <c r="F17" s="94" t="n"/>
      <c r="G17" s="94" t="n"/>
      <c r="H17" s="94" t="n"/>
      <c r="I17" s="94" t="n"/>
    </row>
    <row r="18">
      <c r="A18" s="94" t="inlineStr">
        <is>
          <t>Методика калибровки:</t>
        </is>
      </c>
      <c r="B18" s="94" t="n"/>
      <c r="C18" s="124">
        <f>IF(Протокол!C18="","",Протокол!C18)</f>
        <v/>
      </c>
      <c r="D18" s="94" t="n"/>
      <c r="E18" s="94" t="n"/>
      <c r="F18" s="94" t="n"/>
      <c r="G18" s="94" t="n"/>
      <c r="H18" s="94" t="n"/>
      <c r="I18" s="94" t="n"/>
    </row>
    <row r="19">
      <c r="A19" s="94" t="n"/>
      <c r="B19" s="94" t="n"/>
      <c r="C19" s="124">
        <f>IF(Протокол!C19="","",Протокол!C19)</f>
        <v/>
      </c>
      <c r="D19" s="94" t="n"/>
      <c r="E19" s="94" t="n"/>
      <c r="F19" s="94" t="n"/>
      <c r="G19" s="94" t="n"/>
      <c r="H19" s="94" t="n"/>
      <c r="I19" s="94" t="n"/>
    </row>
    <row r="20">
      <c r="A20" s="126" t="inlineStr">
        <is>
          <t>Средства измерений, используемые при калибровке:</t>
        </is>
      </c>
      <c r="C20" s="94" t="n"/>
      <c r="D20" s="94" t="n"/>
      <c r="E20" s="94" t="n"/>
      <c r="F20" s="94" t="n"/>
      <c r="G20" s="94" t="n"/>
      <c r="H20" s="94" t="n"/>
      <c r="I20" s="94" t="n"/>
    </row>
    <row r="21">
      <c r="C21" s="94" t="n"/>
      <c r="D21" s="94" t="n"/>
      <c r="E21" s="94" t="n"/>
      <c r="F21" s="94" t="n"/>
      <c r="G21" s="94" t="n"/>
      <c r="H21" s="94" t="n"/>
      <c r="I21" s="94" t="n"/>
    </row>
    <row r="22">
      <c r="A22" s="94" t="n"/>
      <c r="B22" s="94" t="n"/>
      <c r="C22" s="94" t="n"/>
      <c r="D22" s="94" t="n"/>
      <c r="E22" s="94" t="n"/>
      <c r="F22" s="94" t="n"/>
      <c r="G22" s="94" t="n"/>
      <c r="H22" s="94" t="n"/>
      <c r="I22" s="94" t="n"/>
    </row>
    <row r="23">
      <c r="A23" s="117" t="inlineStr">
        <is>
          <t>Наименование СИ, тип/модель/ Заводской номер</t>
        </is>
      </c>
      <c r="B23" s="118" t="n"/>
      <c r="C23" s="118" t="n"/>
      <c r="D23" s="118" t="n"/>
      <c r="E23" s="118" t="n"/>
      <c r="F23" s="118" t="n"/>
      <c r="G23" s="118" t="n"/>
      <c r="H23" s="118" t="n"/>
      <c r="I23" s="119" t="n"/>
    </row>
    <row r="24">
      <c r="A24" s="115">
        <f>IF(Протокол!A24="","",Протокол!A24)</f>
        <v/>
      </c>
      <c r="B24" s="115" t="n"/>
      <c r="C24" s="115" t="n"/>
      <c r="D24" s="115" t="n"/>
      <c r="E24" s="115" t="n"/>
      <c r="F24" s="118" t="n"/>
      <c r="G24" s="118" t="n"/>
      <c r="H24" s="118" t="n"/>
      <c r="I24" s="116" t="n"/>
    </row>
    <row r="25">
      <c r="A25" s="115">
        <f>IF(Протокол!A25="","",Протокол!A25)</f>
        <v/>
      </c>
      <c r="B25" s="115" t="n"/>
      <c r="C25" s="115" t="n"/>
      <c r="D25" s="115" t="n"/>
      <c r="E25" s="115" t="n"/>
      <c r="F25" s="118" t="n"/>
      <c r="G25" s="118" t="n"/>
      <c r="H25" s="118" t="n"/>
      <c r="I25" s="116" t="n"/>
    </row>
    <row r="26">
      <c r="A26" s="115">
        <f>IF(Протокол!A26="","",Протокол!A26)</f>
        <v/>
      </c>
      <c r="B26" s="115" t="n"/>
      <c r="C26" s="115" t="n"/>
      <c r="D26" s="115" t="n"/>
      <c r="E26" s="115" t="n"/>
      <c r="F26" s="118" t="n"/>
      <c r="G26" s="118" t="n"/>
      <c r="H26" s="118" t="n"/>
      <c r="I26" s="116" t="n"/>
    </row>
    <row r="27">
      <c r="A27" s="115">
        <f>IF(Протокол!A27="","",Протокол!A27)</f>
        <v/>
      </c>
      <c r="B27" s="115" t="n"/>
      <c r="C27" s="115" t="n"/>
      <c r="D27" s="115" t="n"/>
      <c r="E27" s="115" t="n"/>
      <c r="F27" s="118" t="n"/>
      <c r="G27" s="118" t="n"/>
      <c r="H27" s="118" t="n"/>
      <c r="I27" s="116" t="n"/>
    </row>
    <row r="28">
      <c r="A28" s="115">
        <f>IF(Протокол!A28="","",Протокол!A28)</f>
        <v/>
      </c>
      <c r="B28" s="115" t="n"/>
      <c r="C28" s="115" t="n"/>
      <c r="D28" s="115" t="n"/>
      <c r="E28" s="115" t="n"/>
      <c r="F28" s="118" t="n"/>
      <c r="G28" s="118" t="n"/>
      <c r="H28" s="118" t="n"/>
      <c r="I28" s="116" t="n"/>
    </row>
    <row r="29">
      <c r="A29" s="115">
        <f>IF(Протокол!A29="","",Протокол!A29)</f>
        <v/>
      </c>
      <c r="B29" s="115" t="n"/>
      <c r="C29" s="115" t="n"/>
      <c r="D29" s="115" t="n"/>
      <c r="E29" s="115" t="n"/>
      <c r="F29" s="118" t="n"/>
      <c r="G29" s="118" t="n"/>
      <c r="H29" s="118" t="n"/>
      <c r="I29" s="116" t="n"/>
    </row>
    <row r="30">
      <c r="A30" s="94" t="inlineStr">
        <is>
          <t>Условия калибровки:</t>
        </is>
      </c>
      <c r="B30" s="94" t="n"/>
      <c r="C30" s="27" t="inlineStr">
        <is>
          <t>смотреть приложение 1</t>
        </is>
      </c>
      <c r="D30" s="94" t="n"/>
      <c r="E30" s="94" t="n"/>
      <c r="F30" s="94" t="n"/>
      <c r="G30" s="94" t="n"/>
      <c r="H30" s="94" t="n"/>
      <c r="I30" s="94" t="n"/>
    </row>
    <row r="31">
      <c r="A31" s="24" t="inlineStr">
        <is>
          <t>Результаты калибровки:</t>
        </is>
      </c>
      <c r="B31" s="94" t="n"/>
      <c r="C31" s="94" t="n"/>
      <c r="D31" s="94" t="n"/>
      <c r="E31" s="94" t="n"/>
      <c r="F31" s="94" t="n"/>
      <c r="G31" s="94" t="n"/>
      <c r="H31" s="94" t="n"/>
      <c r="I31" s="94" t="n"/>
    </row>
    <row r="32">
      <c r="A32" s="24" t="n"/>
      <c r="B32" s="94" t="n"/>
      <c r="C32" s="94" t="n"/>
      <c r="D32" s="94" t="n"/>
      <c r="E32" s="94" t="n"/>
      <c r="F32" s="94" t="n"/>
      <c r="G32" s="94" t="n"/>
      <c r="H32" s="94" t="n"/>
      <c r="I32" s="94" t="n"/>
    </row>
    <row r="33">
      <c r="A33" s="24" t="inlineStr">
        <is>
          <t>1 Внешний осмотр:</t>
        </is>
      </c>
      <c r="B33" s="94" t="n"/>
      <c r="C33" s="28" t="inlineStr">
        <is>
          <t>соответствует МК</t>
        </is>
      </c>
      <c r="D33" s="94" t="n"/>
      <c r="E33" s="94" t="n"/>
      <c r="F33" s="94" t="n"/>
      <c r="G33" s="94" t="n"/>
      <c r="H33" s="94" t="n"/>
      <c r="I33" s="94" t="n"/>
    </row>
    <row r="34">
      <c r="A34" s="24" t="n"/>
      <c r="B34" s="94" t="n"/>
      <c r="C34" s="94" t="n"/>
      <c r="D34" s="94" t="n"/>
      <c r="E34" s="94" t="n"/>
      <c r="F34" s="94" t="n"/>
      <c r="G34" s="94" t="n"/>
      <c r="H34" s="94" t="n"/>
      <c r="I34" s="94" t="n"/>
    </row>
    <row r="35">
      <c r="A35" s="24" t="inlineStr">
        <is>
          <t xml:space="preserve">2 Опробование: </t>
        </is>
      </c>
      <c r="B35" s="94" t="n"/>
      <c r="C35" s="123" t="inlineStr">
        <is>
          <t>соответствует МК</t>
        </is>
      </c>
      <c r="D35" s="94" t="n"/>
      <c r="E35" s="94" t="n"/>
      <c r="F35" s="94" t="n"/>
      <c r="G35" s="94" t="n"/>
      <c r="H35" s="94" t="n"/>
      <c r="I35" s="94" t="n"/>
    </row>
    <row r="36">
      <c r="A36" s="24" t="n"/>
      <c r="B36" s="94" t="n"/>
      <c r="C36" s="94" t="n"/>
      <c r="D36" s="94" t="n"/>
      <c r="E36" s="94" t="n"/>
      <c r="F36" s="94" t="n"/>
      <c r="G36" s="94" t="n"/>
      <c r="H36" s="94" t="n"/>
      <c r="I36" s="94" t="n"/>
    </row>
    <row r="37">
      <c r="A37" s="24" t="inlineStr">
        <is>
          <t>3 Определение метрологических характеристик:</t>
        </is>
      </c>
      <c r="B37" s="94" t="n"/>
      <c r="C37" s="94" t="n"/>
      <c r="D37" s="94" t="n"/>
      <c r="E37" s="94" t="n"/>
      <c r="F37" s="94" t="n"/>
      <c r="G37" s="94" t="n"/>
      <c r="H37" s="94" t="n"/>
      <c r="I37" s="94" t="n"/>
    </row>
    <row r="38">
      <c r="A38" s="24" t="n"/>
      <c r="B38" s="94" t="n"/>
      <c r="C38" s="94" t="n"/>
      <c r="D38" s="94" t="n"/>
      <c r="E38" s="94" t="n"/>
      <c r="F38" s="94" t="n"/>
      <c r="G38" s="94" t="n"/>
      <c r="H38" s="94" t="n"/>
      <c r="I38" s="94" t="n"/>
    </row>
    <row r="39">
      <c r="A39" s="24" t="inlineStr">
        <is>
          <t>Результаты измерений:</t>
        </is>
      </c>
      <c r="B39" s="94" t="n"/>
      <c r="C39" s="123" t="inlineStr">
        <is>
          <t>смотреть приложение 1</t>
        </is>
      </c>
      <c r="D39" s="94" t="n"/>
      <c r="E39" s="94" t="n"/>
      <c r="F39" s="94" t="n"/>
      <c r="G39" s="94" t="n"/>
      <c r="H39" s="94" t="n"/>
      <c r="I39" s="94" t="n"/>
    </row>
    <row r="40">
      <c r="A40" s="24" t="n"/>
      <c r="B40" s="94" t="n"/>
      <c r="C40" s="94" t="n"/>
      <c r="D40" s="94" t="n"/>
      <c r="E40" s="94" t="n"/>
      <c r="F40" s="94" t="n"/>
      <c r="G40" s="94" t="n"/>
      <c r="H40" s="94" t="n"/>
      <c r="I40" s="94" t="n"/>
    </row>
    <row r="41">
      <c r="A41" s="24" t="inlineStr">
        <is>
          <t>Полный результат измерения:</t>
        </is>
      </c>
      <c r="B41" s="94" t="n"/>
      <c r="C41" s="123" t="inlineStr">
        <is>
          <t>смотреть приложение 2</t>
        </is>
      </c>
      <c r="D41" s="94" t="n"/>
      <c r="E41" s="94" t="n"/>
      <c r="F41" s="94" t="n"/>
      <c r="G41" s="94" t="n"/>
      <c r="H41" s="94" t="n"/>
      <c r="I41" s="94" t="n"/>
    </row>
    <row r="42">
      <c r="A42" s="94" t="n"/>
      <c r="B42" s="94" t="n"/>
      <c r="C42" s="94" t="n"/>
      <c r="D42" s="94" t="n"/>
      <c r="E42" s="94" t="n"/>
      <c r="F42" s="94" t="n"/>
      <c r="G42" s="94" t="n"/>
      <c r="H42" s="94" t="n"/>
      <c r="I42" s="94" t="n"/>
    </row>
    <row r="43">
      <c r="A43" s="94" t="inlineStr">
        <is>
          <t>Заключение:</t>
        </is>
      </c>
      <c r="B43" s="94" t="n"/>
      <c r="C43" s="28" t="inlineStr">
        <is>
          <t>соответствует требованиям заказчика</t>
        </is>
      </c>
      <c r="D43" s="94" t="n"/>
      <c r="E43" s="94" t="n"/>
      <c r="F43" s="94" t="n"/>
      <c r="G43" s="94" t="n"/>
      <c r="H43" s="94" t="n"/>
      <c r="I43" s="94" t="n"/>
    </row>
    <row r="44">
      <c r="A44" s="94" t="n"/>
      <c r="B44" s="94" t="n"/>
      <c r="C44" s="94" t="n"/>
      <c r="D44" s="94" t="n"/>
      <c r="E44" s="94" t="n"/>
      <c r="F44" s="94" t="n"/>
      <c r="G44" s="94" t="n"/>
      <c r="H44" s="94" t="n"/>
      <c r="I44" s="94" t="n"/>
    </row>
    <row r="45">
      <c r="A45" s="94" t="inlineStr">
        <is>
          <t>Калибровочное клеймо-наклейка:</t>
        </is>
      </c>
      <c r="B45" s="94" t="n"/>
      <c r="C45" s="94" t="n"/>
      <c r="D45" s="123">
        <f>Протокол!D45</f>
        <v/>
      </c>
      <c r="E45" s="94" t="n"/>
      <c r="F45" s="94" t="n"/>
      <c r="G45" s="94" t="n"/>
      <c r="H45" s="94" t="n"/>
      <c r="I45" s="94" t="n"/>
    </row>
    <row r="46">
      <c r="A46" s="94" t="n"/>
      <c r="B46" s="94" t="n"/>
      <c r="C46" s="94" t="n"/>
      <c r="D46" s="94" t="n"/>
      <c r="E46" s="94" t="n"/>
      <c r="F46" s="94" t="n"/>
      <c r="G46" s="94" t="n"/>
      <c r="H46" s="94" t="n"/>
      <c r="I46" s="94" t="n"/>
    </row>
    <row r="47">
      <c r="A47" s="94" t="inlineStr">
        <is>
          <t>Калибровку провел:</t>
        </is>
      </c>
      <c r="B47" s="94" t="n"/>
      <c r="C47" s="94" t="n"/>
      <c r="D47" s="129" t="n"/>
      <c r="E47" s="137" t="n"/>
      <c r="F47" s="94" t="n"/>
      <c r="G47" s="120">
        <f>Протокол!G60</f>
        <v/>
      </c>
      <c r="H47" s="120" t="n"/>
      <c r="I47" s="94" t="n"/>
    </row>
    <row r="48">
      <c r="A48" s="94" t="n"/>
      <c r="B48" s="94" t="n"/>
      <c r="C48" s="94" t="n"/>
      <c r="D48" s="130" t="inlineStr">
        <is>
          <t>подпись</t>
        </is>
      </c>
      <c r="E48" s="138" t="n"/>
      <c r="F48" s="31" t="n"/>
      <c r="G48" s="128" t="inlineStr">
        <is>
          <t>ФИО</t>
        </is>
      </c>
      <c r="I48" s="94" t="n"/>
    </row>
    <row r="49">
      <c r="I49" s="94" t="n"/>
    </row>
    <row r="50">
      <c r="I50" s="94" t="n"/>
    </row>
    <row r="51">
      <c r="A51" s="124" t="n"/>
      <c r="B51" s="94" t="n"/>
      <c r="C51" s="94" t="n"/>
      <c r="D51" s="94" t="n"/>
      <c r="E51" s="94" t="n"/>
      <c r="F51" s="94" t="n"/>
      <c r="G51" s="94" t="n"/>
      <c r="H51" s="94" t="n"/>
      <c r="I51" s="94" t="n"/>
    </row>
    <row r="52">
      <c r="A52" s="124" t="n"/>
      <c r="B52" s="94" t="n"/>
      <c r="C52" s="94" t="n"/>
      <c r="D52" s="94" t="n"/>
      <c r="E52" s="94" t="n"/>
      <c r="F52" s="94" t="n"/>
      <c r="G52" s="94" t="n"/>
      <c r="H52" s="94" t="n"/>
      <c r="I52" s="94" t="n"/>
    </row>
    <row r="53">
      <c r="A53" s="124" t="n"/>
      <c r="B53" s="94" t="n"/>
      <c r="C53" s="94" t="n"/>
      <c r="D53" s="94" t="n"/>
      <c r="E53" s="94" t="n"/>
      <c r="F53" s="94" t="n"/>
      <c r="G53" s="94" t="n"/>
      <c r="H53" s="94" t="n"/>
      <c r="I53" s="94" t="n"/>
    </row>
    <row r="54">
      <c r="A54" s="124" t="n"/>
      <c r="B54" s="94" t="n"/>
      <c r="C54" s="94" t="n"/>
      <c r="D54" s="94" t="n"/>
      <c r="E54" s="94" t="n"/>
      <c r="F54" s="94" t="n"/>
      <c r="G54" s="94" t="n"/>
      <c r="H54" s="94" t="n"/>
      <c r="I54" s="94" t="n"/>
    </row>
    <row r="55">
      <c r="A55" s="124" t="n"/>
      <c r="B55" s="94" t="n"/>
      <c r="C55" s="94" t="n"/>
      <c r="D55" s="94" t="n"/>
      <c r="E55" s="94" t="n"/>
      <c r="F55" s="94" t="n"/>
      <c r="G55" s="94" t="n"/>
      <c r="H55" s="94" t="n"/>
      <c r="I55" s="94" t="n"/>
    </row>
    <row r="56">
      <c r="A56" s="94" t="n"/>
      <c r="B56" s="94" t="n"/>
      <c r="C56" s="94" t="n"/>
      <c r="D56" s="94" t="n"/>
      <c r="E56" s="94" t="n"/>
      <c r="F56" s="94" t="n"/>
      <c r="G56" s="94" t="n"/>
      <c r="H56" s="94" t="n"/>
      <c r="I56" s="94" t="n"/>
    </row>
    <row r="57">
      <c r="A57" s="94" t="n"/>
      <c r="B57" s="94" t="n"/>
      <c r="C57" s="94" t="n"/>
      <c r="D57" s="94" t="n"/>
      <c r="E57" s="94" t="n"/>
      <c r="F57" s="94" t="n"/>
      <c r="G57" s="94" t="n"/>
      <c r="H57" s="94" t="n"/>
      <c r="I57" s="94" t="n"/>
    </row>
    <row r="58">
      <c r="A58" s="94" t="n"/>
      <c r="B58" s="94" t="n"/>
      <c r="C58" s="94" t="n"/>
      <c r="D58" s="94" t="n"/>
      <c r="E58" s="94" t="n"/>
      <c r="F58" s="94" t="n"/>
      <c r="G58" s="94" t="n"/>
      <c r="H58" s="94" t="n"/>
      <c r="I58" s="94" t="n"/>
    </row>
    <row r="59">
      <c r="A59" s="94" t="n"/>
      <c r="B59" s="94" t="n"/>
      <c r="C59" s="94" t="n"/>
      <c r="D59" s="94" t="n"/>
      <c r="E59" s="94" t="n"/>
      <c r="F59" s="94" t="n"/>
      <c r="G59" s="94" t="n"/>
      <c r="H59" s="94" t="n"/>
      <c r="I59" s="94" t="n"/>
    </row>
    <row r="60">
      <c r="I60" s="94" t="n"/>
    </row>
    <row r="61">
      <c r="I61" s="94" t="n"/>
    </row>
    <row r="62">
      <c r="A62" s="94" t="n"/>
      <c r="B62" s="94" t="n"/>
      <c r="C62" s="94" t="n"/>
      <c r="D62" s="94" t="n"/>
      <c r="E62" s="94" t="n"/>
      <c r="F62" s="94" t="n"/>
      <c r="G62" s="94" t="n"/>
      <c r="H62" s="94" t="n"/>
      <c r="I62" s="94" t="n"/>
    </row>
    <row r="63">
      <c r="A63" s="94" t="n"/>
      <c r="B63" s="94" t="n"/>
      <c r="C63" s="94" t="n"/>
      <c r="D63" s="94" t="n"/>
      <c r="E63" s="94" t="n"/>
      <c r="F63" s="94" t="n"/>
      <c r="G63" s="94" t="n"/>
      <c r="H63" s="94" t="n"/>
      <c r="I63" s="94" t="n"/>
    </row>
    <row r="64">
      <c r="A64" s="94" t="n"/>
      <c r="B64" s="94" t="n"/>
      <c r="C64" s="94" t="n"/>
      <c r="D64" s="94" t="n"/>
      <c r="E64" s="94" t="n"/>
      <c r="F64" s="94" t="n"/>
      <c r="G64" s="94" t="n"/>
      <c r="H64" s="94" t="n"/>
      <c r="I64" s="94" t="n"/>
    </row>
    <row r="65">
      <c r="A65" s="94" t="n"/>
      <c r="B65" s="94" t="n"/>
      <c r="C65" s="94" t="n"/>
      <c r="D65" s="94" t="n"/>
      <c r="E65" s="94" t="n"/>
      <c r="F65" s="94" t="n"/>
      <c r="G65" s="94" t="n"/>
      <c r="H65" s="94" t="n"/>
      <c r="I65" s="94" t="n"/>
    </row>
    <row r="66">
      <c r="A66" s="94" t="n"/>
      <c r="B66" s="94" t="n"/>
      <c r="C66" s="94" t="n"/>
      <c r="D66" s="94" t="n"/>
      <c r="E66" s="94" t="n"/>
      <c r="F66" s="94" t="n"/>
      <c r="G66" s="94" t="n"/>
      <c r="H66" s="94" t="n"/>
      <c r="I66" s="94" t="n"/>
    </row>
    <row r="67">
      <c r="A67" s="94" t="n"/>
      <c r="B67" s="94" t="n"/>
      <c r="C67" s="94" t="n"/>
      <c r="D67" s="94" t="n"/>
      <c r="E67" s="94" t="n"/>
      <c r="F67" s="94" t="n"/>
      <c r="G67" s="94" t="n"/>
      <c r="H67" s="94" t="n"/>
      <c r="I67" s="94" t="n"/>
    </row>
    <row r="68">
      <c r="A68" s="94" t="n"/>
      <c r="B68" s="94" t="n"/>
      <c r="C68" s="94" t="n"/>
      <c r="D68" s="94" t="n"/>
      <c r="E68" s="94" t="n"/>
      <c r="F68" s="94" t="n"/>
      <c r="G68" s="94" t="n"/>
      <c r="H68" s="94" t="n"/>
      <c r="I68" s="94" t="n"/>
    </row>
  </sheetData>
  <mergeCells count="7">
    <mergeCell ref="D48:E48"/>
    <mergeCell ref="G48:H48"/>
    <mergeCell ref="C1:E1"/>
    <mergeCell ref="C14:I14"/>
    <mergeCell ref="A17:B17"/>
    <mergeCell ref="A20:B21"/>
    <mergeCell ref="D47:E47"/>
  </mergeCells>
  <pageMargins bottom="0.75" footer="0.3" header="0.3" left="0.7" right="0.7" top="0.75"/>
  <pageSetup horizontalDpi="4294967295" orientation="portrait" paperSize="9" scale="79" verticalDpi="4294967295"/>
</worksheet>
</file>

<file path=xl/worksheets/sheet10.xml><?xml version="1.0" encoding="utf-8"?>
<worksheet xmlns="http://schemas.openxmlformats.org/spreadsheetml/2006/main">
  <sheetPr codeName="Лист9">
    <outlinePr summaryBelow="1" summaryRight="1"/>
    <pageSetUpPr/>
  </sheetPr>
  <dimension ref="A1:C5"/>
  <sheetViews>
    <sheetView workbookViewId="0">
      <selection activeCell="C2" sqref="C2:C4"/>
    </sheetView>
  </sheetViews>
  <sheetFormatPr baseColWidth="8" defaultRowHeight="15.75"/>
  <cols>
    <col customWidth="1" max="1" min="1" style="73" width="27.375"/>
    <col customWidth="1" max="2" min="2" style="73" width="27"/>
    <col customWidth="1" max="3" min="3" style="73" width="14.375"/>
  </cols>
  <sheetData>
    <row r="1">
      <c r="A1" t="inlineStr">
        <is>
          <t>ЭК0200</t>
        </is>
      </c>
      <c r="B1" t="inlineStr">
        <is>
          <t>Щ41160</t>
        </is>
      </c>
      <c r="C1" t="inlineStr">
        <is>
          <t>HV</t>
        </is>
      </c>
    </row>
    <row r="2">
      <c r="A2" s="115" t="inlineStr">
        <is>
          <t>Мера Сопротивления Р321 (1 Ом) № 191051;</t>
        </is>
      </c>
      <c r="B2" s="115" t="inlineStr">
        <is>
          <t>Мера Сопротивления Р321 (1 Ом) № 191051;</t>
        </is>
      </c>
      <c r="C2" s="65" t="inlineStr">
        <is>
          <t>киловольтметр Vitrek 4700 №017755</t>
        </is>
      </c>
    </row>
    <row r="3">
      <c r="A3" s="115" t="inlineStr">
        <is>
          <t>мера сопротивления Р321 (0,1 Ом) №13642;</t>
        </is>
      </c>
      <c r="B3" s="115" t="inlineStr">
        <is>
          <t>мера сопротивления Р321 (0,1 Ом) №13642;</t>
        </is>
      </c>
      <c r="C3" s="65" t="inlineStr">
        <is>
          <t>делитель HVL-100 №019598</t>
        </is>
      </c>
    </row>
    <row r="4">
      <c r="A4" s="115" t="inlineStr">
        <is>
          <t>амперметр Д553 №29128;</t>
        </is>
      </c>
      <c r="B4" s="115" t="inlineStr">
        <is>
          <t>амперметр Д553 №29128</t>
        </is>
      </c>
      <c r="C4" s="65" t="inlineStr">
        <is>
          <t>мультиметр Fluke 28II №29300096</t>
        </is>
      </c>
    </row>
    <row r="5">
      <c r="A5" s="115" t="inlineStr">
        <is>
          <t>Калибратор Fluke 5502E №2918803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Попко Вадим Васильевич</dc:creator>
  <dcterms:created xsi:type="dcterms:W3CDTF">2016-05-27T06:15:59Z</dcterms:created>
  <dcterms:modified xsi:type="dcterms:W3CDTF">2021-08-23T13:13:07Z</dcterms:modified>
  <cp:lastModifiedBy>Валенда Анатолий Генадьевич</cp:lastModifiedBy>
  <cp:category>QuametecPW</cp:category>
  <cp:lastPrinted>2019-01-03T07:32:17Z</cp:lastPrinted>
</cp:coreProperties>
</file>