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Общая\Valenda\калибровка\calibration protocol\"/>
    </mc:Choice>
  </mc:AlternateContent>
  <bookViews>
    <workbookView xWindow="0" yWindow="0" windowWidth="20490" windowHeight="7620"/>
  </bookViews>
  <sheets>
    <sheet name="Протокол" sheetId="3" r:id="rId1"/>
    <sheet name="Измерения" sheetId="5" r:id="rId2"/>
    <sheet name="Бюджет" sheetId="1" r:id="rId3"/>
    <sheet name="Form1" sheetId="7" state="hidden" r:id="rId4"/>
    <sheet name="Form2" sheetId="8" state="hidden" r:id="rId5"/>
    <sheet name="Form3" sheetId="10" state="hidden" r:id="rId6"/>
    <sheet name="Свидетельство" sheetId="4" r:id="rId7"/>
    <sheet name="номера" sheetId="9" r:id="rId8"/>
    <sheet name="Рабочие записи" sheetId="18" r:id="rId9"/>
    <sheet name="сборки эталонов" sheetId="19" r:id="rId10"/>
  </sheets>
  <functionGroups builtInGroupCount="18"/>
  <definedNames>
    <definedName name="StdDevQ" localSheetId="4">#REF!</definedName>
    <definedName name="StdDevQ" localSheetId="5">#REF!</definedName>
    <definedName name="StdDevQ">#REF!</definedName>
    <definedName name="_xlnm.Print_Area" localSheetId="3">Form1!$A$1:$J$67</definedName>
    <definedName name="_xlnm.Print_Area" localSheetId="4">Form2!$A$1:$J$68</definedName>
    <definedName name="_xlnm.Print_Area" localSheetId="5">Form3!$A$1:$J$69</definedName>
    <definedName name="_xlnm.Print_Area" localSheetId="1">Измерения!$A$1:$H$51</definedName>
    <definedName name="_xlnm.Print_Area" localSheetId="0">Протокол!$A$1:$I$68</definedName>
    <definedName name="_xlnm.Print_Area" localSheetId="8">'Рабочие записи'!$A$1:$I$61</definedName>
  </definedNames>
  <calcPr calcId="162913"/>
</workbook>
</file>

<file path=xl/calcChain.xml><?xml version="1.0" encoding="utf-8"?>
<calcChain xmlns="http://schemas.openxmlformats.org/spreadsheetml/2006/main">
  <c r="G47" i="18" l="1"/>
  <c r="D45" i="18"/>
  <c r="A25" i="18"/>
  <c r="A26" i="18"/>
  <c r="A27" i="18"/>
  <c r="A28" i="18"/>
  <c r="A29" i="18"/>
  <c r="A24" i="18"/>
  <c r="C18" i="18"/>
  <c r="C19" i="18"/>
  <c r="D17" i="18"/>
  <c r="D16" i="18"/>
  <c r="E12" i="18"/>
  <c r="C12" i="18"/>
  <c r="B9" i="18"/>
  <c r="B8" i="18"/>
  <c r="C6" i="18"/>
  <c r="C4" i="18"/>
  <c r="C3" i="18"/>
  <c r="F1" i="18"/>
  <c r="A7" i="1" l="1"/>
  <c r="B7" i="5" l="1"/>
  <c r="J22" i="10" l="1"/>
  <c r="H19" i="10"/>
  <c r="J19" i="10" s="1"/>
  <c r="G19" i="10"/>
  <c r="C19" i="10"/>
  <c r="H23" i="10"/>
  <c r="G20" i="10"/>
  <c r="H20" i="10" s="1"/>
  <c r="C20" i="10"/>
  <c r="G18" i="10"/>
  <c r="H18" i="10" s="1"/>
  <c r="C18" i="10"/>
  <c r="G17" i="10"/>
  <c r="H17" i="10" s="1"/>
  <c r="C17" i="10"/>
  <c r="I16" i="10"/>
  <c r="G16" i="10"/>
  <c r="C16" i="10"/>
  <c r="H16" i="10" s="1"/>
  <c r="A12" i="10"/>
  <c r="J18" i="10" l="1"/>
  <c r="J20" i="10"/>
  <c r="J16" i="10"/>
  <c r="H22" i="10"/>
  <c r="I22" i="10" s="1"/>
  <c r="H24" i="10" s="1"/>
  <c r="J17" i="10"/>
  <c r="G17" i="8"/>
  <c r="H22" i="8"/>
  <c r="G19" i="8"/>
  <c r="C19" i="8"/>
  <c r="G18" i="8"/>
  <c r="C18" i="8"/>
  <c r="G16" i="8"/>
  <c r="A12" i="8"/>
  <c r="H25" i="10" l="1"/>
  <c r="H26" i="10" s="1"/>
  <c r="H18" i="8"/>
  <c r="H19" i="8"/>
  <c r="G16" i="7"/>
  <c r="G17" i="7"/>
  <c r="E1" i="5" l="1"/>
  <c r="F1" i="3"/>
  <c r="G16" i="3" l="1"/>
  <c r="G16" i="18" s="1"/>
  <c r="A12" i="7" l="1"/>
  <c r="B36" i="5" l="1"/>
  <c r="B37" i="5"/>
  <c r="B35" i="5"/>
  <c r="B39" i="5" s="1"/>
  <c r="C17" i="8" s="1"/>
  <c r="H17" i="8" s="1"/>
  <c r="B38" i="5"/>
  <c r="I16" i="7" s="1"/>
  <c r="C17" i="7"/>
  <c r="H17" i="7"/>
  <c r="C18" i="7"/>
  <c r="G18" i="7"/>
  <c r="H21" i="7"/>
  <c r="A8" i="1"/>
  <c r="H18" i="7" l="1"/>
  <c r="I16" i="8"/>
  <c r="C16" i="8"/>
  <c r="H16" i="8" s="1"/>
  <c r="J16" i="8" s="1"/>
  <c r="C16" i="7"/>
  <c r="H16" i="7" s="1"/>
  <c r="J17" i="8" l="1"/>
  <c r="J19" i="8"/>
  <c r="H21" i="8"/>
  <c r="J18" i="8"/>
  <c r="J18" i="7"/>
  <c r="J16" i="7"/>
  <c r="J17" i="7"/>
  <c r="H20" i="7"/>
  <c r="H23" i="7" s="1"/>
  <c r="I21" i="8" l="1"/>
  <c r="H23" i="8" s="1"/>
  <c r="H24" i="8"/>
  <c r="H25" i="8" s="1"/>
  <c r="J21" i="8"/>
  <c r="I20" i="7"/>
  <c r="H22" i="7" s="1"/>
  <c r="H24" i="7"/>
  <c r="J20" i="7"/>
</calcChain>
</file>

<file path=xl/sharedStrings.xml><?xml version="1.0" encoding="utf-8"?>
<sst xmlns="http://schemas.openxmlformats.org/spreadsheetml/2006/main" count="369" uniqueCount="221">
  <si>
    <t>ʋ</t>
  </si>
  <si>
    <t>A</t>
  </si>
  <si>
    <t>B</t>
  </si>
  <si>
    <t>БЮДЖЕТ НЕОПРЕДЕЛЁННОСТИ</t>
  </si>
  <si>
    <t>Коэффициент Чувствительности</t>
  </si>
  <si>
    <t>Величина</t>
  </si>
  <si>
    <t>Единица Измерения</t>
  </si>
  <si>
    <t>Тип</t>
  </si>
  <si>
    <t>Распределение</t>
  </si>
  <si>
    <t>Делитель</t>
  </si>
  <si>
    <t>Стандартная Неопределённость</t>
  </si>
  <si>
    <t>Степени Свободы</t>
  </si>
  <si>
    <t>Прямоугольное</t>
  </si>
  <si>
    <t>Дата</t>
  </si>
  <si>
    <t>Оператор</t>
  </si>
  <si>
    <t>Метод</t>
  </si>
  <si>
    <t>Среднее значение</t>
  </si>
  <si>
    <t>Стандартное отклонение</t>
  </si>
  <si>
    <t>Степени свободы</t>
  </si>
  <si>
    <t>СКО</t>
  </si>
  <si>
    <t>Количество измерений</t>
  </si>
  <si>
    <t>Суммарная неопределённость</t>
  </si>
  <si>
    <t>ПРОТОКОЛ КАЛИБРОВКИ №</t>
  </si>
  <si>
    <t>Заводской номер:</t>
  </si>
  <si>
    <t>Заказчик:</t>
  </si>
  <si>
    <t xml:space="preserve">Дата калибровки: </t>
  </si>
  <si>
    <t xml:space="preserve">начало </t>
  </si>
  <si>
    <t>окончание</t>
  </si>
  <si>
    <t>Методика калибровки:</t>
  </si>
  <si>
    <t>Средства измерений, используемые при калибровке:</t>
  </si>
  <si>
    <t>Результаты калибровки:</t>
  </si>
  <si>
    <t>Полный результат измерения:</t>
  </si>
  <si>
    <t>Заключение:</t>
  </si>
  <si>
    <t>ФИО</t>
  </si>
  <si>
    <t>подпись</t>
  </si>
  <si>
    <t>1 Внешний осмотр:</t>
  </si>
  <si>
    <t>3 Определение метрологических характеристик:</t>
  </si>
  <si>
    <t>соответствует МК</t>
  </si>
  <si>
    <t>смотреть приложение 1</t>
  </si>
  <si>
    <t>смотреть приложение 2</t>
  </si>
  <si>
    <t xml:space="preserve">Свидетельство о калибровке: </t>
  </si>
  <si>
    <t>BY 01 №</t>
  </si>
  <si>
    <t>Калибровочное клеймо-наклейка:</t>
  </si>
  <si>
    <t>соответствует требованиям заказчика</t>
  </si>
  <si>
    <t>Условия калибровки:</t>
  </si>
  <si>
    <r>
      <t>(</t>
    </r>
    <r>
      <rPr>
        <b/>
        <i/>
        <sz val="8"/>
        <color indexed="8"/>
        <rFont val="Segoe UI Light"/>
        <family val="2"/>
        <charset val="204"/>
      </rPr>
      <t>c</t>
    </r>
    <r>
      <rPr>
        <b/>
        <i/>
        <vertAlign val="subscript"/>
        <sz val="8"/>
        <color indexed="8"/>
        <rFont val="Segoe UI Light"/>
        <family val="2"/>
        <charset val="204"/>
      </rPr>
      <t>i</t>
    </r>
    <r>
      <rPr>
        <b/>
        <sz val="8"/>
        <color indexed="8"/>
        <rFont val="Segoe UI Light"/>
        <family val="2"/>
        <charset val="204"/>
      </rPr>
      <t>)</t>
    </r>
  </si>
  <si>
    <r>
      <t>(</t>
    </r>
    <r>
      <rPr>
        <b/>
        <i/>
        <sz val="8"/>
        <color indexed="8"/>
        <rFont val="Segoe UI Light"/>
        <family val="2"/>
        <charset val="204"/>
      </rPr>
      <t>x</t>
    </r>
    <r>
      <rPr>
        <b/>
        <i/>
        <vertAlign val="subscript"/>
        <sz val="8"/>
        <color indexed="8"/>
        <rFont val="Segoe UI Light"/>
        <family val="2"/>
        <charset val="204"/>
      </rPr>
      <t>i</t>
    </r>
    <r>
      <rPr>
        <b/>
        <sz val="8"/>
        <color indexed="8"/>
        <rFont val="Segoe UI Light"/>
        <family val="2"/>
        <charset val="204"/>
      </rPr>
      <t>)</t>
    </r>
  </si>
  <si>
    <r>
      <t>u (x</t>
    </r>
    <r>
      <rPr>
        <b/>
        <i/>
        <vertAlign val="subscript"/>
        <sz val="8"/>
        <color indexed="8"/>
        <rFont val="Segoe UI Light"/>
        <family val="2"/>
        <charset val="204"/>
      </rPr>
      <t>i</t>
    </r>
    <r>
      <rPr>
        <b/>
        <i/>
        <sz val="8"/>
        <color indexed="8"/>
        <rFont val="Segoe UI Light"/>
        <family val="2"/>
        <charset val="204"/>
      </rPr>
      <t>)</t>
    </r>
  </si>
  <si>
    <r>
      <t>u</t>
    </r>
    <r>
      <rPr>
        <b/>
        <i/>
        <vertAlign val="subscript"/>
        <sz val="8"/>
        <color indexed="8"/>
        <rFont val="Segoe UI Light"/>
        <family val="2"/>
        <charset val="204"/>
      </rPr>
      <t>c</t>
    </r>
    <r>
      <rPr>
        <b/>
        <i/>
        <sz val="8"/>
        <color indexed="8"/>
        <rFont val="Segoe UI Light"/>
        <family val="2"/>
        <charset val="204"/>
      </rPr>
      <t xml:space="preserve"> (y)</t>
    </r>
  </si>
  <si>
    <r>
      <t>ʋ</t>
    </r>
    <r>
      <rPr>
        <b/>
        <vertAlign val="subscript"/>
        <sz val="8"/>
        <color indexed="8"/>
        <rFont val="Segoe UI Light"/>
        <family val="2"/>
        <charset val="204"/>
      </rPr>
      <t>eff</t>
    </r>
  </si>
  <si>
    <r>
      <t>Объект калибровки</t>
    </r>
    <r>
      <rPr>
        <b/>
        <sz val="8"/>
        <color indexed="8"/>
        <rFont val="Segoe UI Light"/>
        <family val="2"/>
        <charset val="204"/>
      </rPr>
      <t>:</t>
    </r>
  </si>
  <si>
    <r>
      <t xml:space="preserve">Полный результат калибровки [ </t>
    </r>
    <r>
      <rPr>
        <b/>
        <i/>
        <sz val="8"/>
        <color indexed="8"/>
        <rFont val="Segoe UI Light"/>
        <family val="2"/>
        <charset val="204"/>
      </rPr>
      <t xml:space="preserve">Y= y ± U </t>
    </r>
    <r>
      <rPr>
        <sz val="8"/>
        <color indexed="8"/>
        <rFont val="Segoe UI Light"/>
        <family val="2"/>
        <charset val="204"/>
      </rPr>
      <t>]</t>
    </r>
  </si>
  <si>
    <t>Калибруемая отметка</t>
  </si>
  <si>
    <t>Диапазон</t>
  </si>
  <si>
    <t>Единица измерения</t>
  </si>
  <si>
    <r>
      <t xml:space="preserve">Температура окр. возд., </t>
    </r>
    <r>
      <rPr>
        <sz val="8"/>
        <color indexed="8"/>
        <rFont val="Times New Roman"/>
        <family val="1"/>
        <charset val="204"/>
      </rPr>
      <t>°</t>
    </r>
    <r>
      <rPr>
        <sz val="8"/>
        <color indexed="8"/>
        <rFont val="Segoe UI Light"/>
        <family val="2"/>
        <charset val="204"/>
      </rPr>
      <t>С</t>
    </r>
  </si>
  <si>
    <t>Атм. Давление, кПа</t>
  </si>
  <si>
    <t>ПРИЛОЖЕНИЕ 2 К ПРОТОКОЛУ КАЛИБРОВКИ №</t>
  </si>
  <si>
    <r>
      <t xml:space="preserve">Коэффициент охвата </t>
    </r>
    <r>
      <rPr>
        <b/>
        <i/>
        <sz val="8"/>
        <color indexed="8"/>
        <rFont val="Segoe UI Light"/>
        <family val="2"/>
        <charset val="204"/>
      </rPr>
      <t>(k)</t>
    </r>
    <r>
      <rPr>
        <sz val="8"/>
        <color indexed="8"/>
        <rFont val="Segoe UI Light"/>
        <family val="2"/>
        <charset val="204"/>
      </rPr>
      <t xml:space="preserve">, при </t>
    </r>
    <r>
      <rPr>
        <b/>
        <i/>
        <sz val="8"/>
        <color indexed="8"/>
        <rFont val="Segoe UI Light"/>
        <family val="2"/>
        <charset val="204"/>
      </rPr>
      <t>P = 95.45%</t>
    </r>
  </si>
  <si>
    <t>БелГИМ, л.111</t>
  </si>
  <si>
    <t>Род тока (пост./перем.)</t>
  </si>
  <si>
    <t>постоянный</t>
  </si>
  <si>
    <t xml:space="preserve">Калибруемая отметка </t>
  </si>
  <si>
    <t xml:space="preserve">Абсолютная погрешность </t>
  </si>
  <si>
    <t xml:space="preserve">Расширенная неопределённость </t>
  </si>
  <si>
    <t xml:space="preserve">2 Опробование: </t>
  </si>
  <si>
    <t>от</t>
  </si>
  <si>
    <t>Национальному эталону единицы электрического сопротивления № НЭ РБ 29-16</t>
  </si>
  <si>
    <t>Исходному эталону единиы электрического сопротивления (активного) № НЭ РБ 29-16</t>
  </si>
  <si>
    <t>Место проведения калибровки:</t>
  </si>
  <si>
    <t>Заявка:</t>
  </si>
  <si>
    <t>Калибровку провел:</t>
  </si>
  <si>
    <t>Результаты измерений:</t>
  </si>
  <si>
    <t>Отн. Влажность воздуха, %</t>
  </si>
  <si>
    <t>Процентный Вклад</t>
  </si>
  <si>
    <r>
      <t xml:space="preserve">Расширенная неопределённость [ </t>
    </r>
    <r>
      <rPr>
        <b/>
        <i/>
        <sz val="8"/>
        <color indexed="8"/>
        <rFont val="Segoe UI Light"/>
        <family val="2"/>
        <charset val="204"/>
      </rPr>
      <t>ku</t>
    </r>
    <r>
      <rPr>
        <b/>
        <i/>
        <vertAlign val="subscript"/>
        <sz val="8"/>
        <color indexed="8"/>
        <rFont val="Segoe UI Light"/>
        <family val="2"/>
        <charset val="204"/>
      </rPr>
      <t>c</t>
    </r>
    <r>
      <rPr>
        <b/>
        <i/>
        <sz val="8"/>
        <color indexed="8"/>
        <rFont val="Segoe UI Light"/>
        <family val="2"/>
        <charset val="204"/>
      </rPr>
      <t>(y)</t>
    </r>
    <r>
      <rPr>
        <sz val="8"/>
        <color indexed="8"/>
        <rFont val="Segoe UI Light"/>
        <family val="2"/>
        <charset val="204"/>
      </rPr>
      <t>]</t>
    </r>
  </si>
  <si>
    <r>
      <t xml:space="preserve">Коэффициент охвата </t>
    </r>
    <r>
      <rPr>
        <b/>
        <i/>
        <sz val="8"/>
        <color indexed="8"/>
        <rFont val="Segoe UI Light"/>
        <family val="2"/>
        <charset val="204"/>
      </rPr>
      <t>(k)</t>
    </r>
    <r>
      <rPr>
        <sz val="8"/>
        <color indexed="8"/>
        <rFont val="Segoe UI Light"/>
        <family val="2"/>
        <charset val="204"/>
      </rPr>
      <t xml:space="preserve">, при </t>
    </r>
    <r>
      <rPr>
        <b/>
        <i/>
        <sz val="8"/>
        <color indexed="8"/>
        <rFont val="Segoe UI Light"/>
        <family val="2"/>
        <charset val="204"/>
      </rPr>
      <t xml:space="preserve">P = 95.45%, </t>
    </r>
    <r>
      <rPr>
        <sz val="8"/>
        <color indexed="8"/>
        <rFont val="Segoe UI Light"/>
        <family val="2"/>
        <charset val="204"/>
      </rPr>
      <t>из рассчитанных степеней свободы</t>
    </r>
  </si>
  <si>
    <t>МРП МК 42 13.363-2014</t>
  </si>
  <si>
    <t>Начальное сопротивление</t>
  </si>
  <si>
    <t>МОм</t>
  </si>
  <si>
    <t>Поправка, обусловленная погрешностью квантования</t>
  </si>
  <si>
    <t>Диапазон/Испыт. Напряжение</t>
  </si>
  <si>
    <t>Мера Сопротивления Р331 (100 000 Ом)</t>
  </si>
  <si>
    <t>Мера Сопротивления Р331 (1000 Ом)</t>
  </si>
  <si>
    <t>Мера Сопротивления Р331 (10 000 Ом)</t>
  </si>
  <si>
    <t>Мера Сопротивления Р331 (100 Ом)</t>
  </si>
  <si>
    <t>Мера Сопротивления Р321 (1 Ом)</t>
  </si>
  <si>
    <t>Мера Сопротивления Р321 (10 Ом)</t>
  </si>
  <si>
    <t>Мера Сопротивления Р321 (0,1 Ом)</t>
  </si>
  <si>
    <t>Мера Сопротивления Р310 (0,01 Ом)</t>
  </si>
  <si>
    <t>Мера Сопротивления Р310 (0,001 Ом)</t>
  </si>
  <si>
    <t>Калибратор электрического сопротивления  КС-100К5Т</t>
  </si>
  <si>
    <t>Мера переходного электрического сопротивления Р40115</t>
  </si>
  <si>
    <t>015</t>
  </si>
  <si>
    <t>Магазин сопротивления 4042</t>
  </si>
  <si>
    <t>Магазин сопротивления 4002</t>
  </si>
  <si>
    <t>Магазин сопротивления 4830/1</t>
  </si>
  <si>
    <t>0984</t>
  </si>
  <si>
    <t>Магазин электрического сопротивления МС-6-01/1</t>
  </si>
  <si>
    <t>Блок сопротивлений</t>
  </si>
  <si>
    <t>Нормальное</t>
  </si>
  <si>
    <t>Валенда</t>
  </si>
  <si>
    <t>Количество эталонов</t>
  </si>
  <si>
    <t>invert</t>
  </si>
  <si>
    <t>Методики</t>
  </si>
  <si>
    <t>МРП МК 42 13.204-2015</t>
  </si>
  <si>
    <t>Калибраторы универсальные. Методика калибровки</t>
  </si>
  <si>
    <t>МРП МК 42 13.205-2015</t>
  </si>
  <si>
    <t>Приборы измерительные цифровые напряжения, тока, сопротивления, емкости, частоты. Методика калибровки</t>
  </si>
  <si>
    <t>МРП МК 42 13.271-2012</t>
  </si>
  <si>
    <t>Трансформаторы напряжения измерительные. Методика калибровки</t>
  </si>
  <si>
    <t>МРП МК 42 13.328-2013</t>
  </si>
  <si>
    <t>Трансформаторы тока. Методика калибровки</t>
  </si>
  <si>
    <t>МРП МК 42 13.329-2013</t>
  </si>
  <si>
    <t>Клещи электроизмерительные многофункциональные. Методика калибровки</t>
  </si>
  <si>
    <t>МРП МК 42 13.332-2013</t>
  </si>
  <si>
    <t>Устройство тестирующее КТ 3881Е. Методика калибровки</t>
  </si>
  <si>
    <t>Омметры аналоговые и цифровые, измерители сопротивления заземления. Методика калибровки</t>
  </si>
  <si>
    <t>МРП МК 42 13.418-2015</t>
  </si>
  <si>
    <t>Измерители электрической емкости. Методика калибровки</t>
  </si>
  <si>
    <t>МРП МК 42 13.455-2016</t>
  </si>
  <si>
    <t>Высоковольтные установки напряжения переменного и постоянного тока до 100 кВ. Методика калибровки</t>
  </si>
  <si>
    <t>МРП МК 42 13.459-2016</t>
  </si>
  <si>
    <t>Устройства для воспроизведения силы переменного тока до 12 кА частотой 50 Гц. Методика калибровки</t>
  </si>
  <si>
    <t xml:space="preserve"> МРП МК 100055197.107-2008</t>
  </si>
  <si>
    <t>Шунты постоянного тока класса точности 0,2-0,5. Типовая методика калибровки</t>
  </si>
  <si>
    <t>Эталоны</t>
  </si>
  <si>
    <t>Национальному эталону единиц: времени – секунды, частоты – герца и шкалы времени №01–95</t>
  </si>
  <si>
    <t>~</t>
  </si>
  <si>
    <t xml:space="preserve"> Национальному эталону единицы напряжения переменного тока в диапазоне частот 10 Гц – 2 ГГц № НЭ РБ 5-01; </t>
  </si>
  <si>
    <t>=</t>
  </si>
  <si>
    <t>Национальному эталону единицы напряжения - Вольта № НЭ РБ 10-02;</t>
  </si>
  <si>
    <t>Национальному эталону единицы электрического сопротивления № НЭ РБ 29-16;</t>
  </si>
  <si>
    <t>Hi V</t>
  </si>
  <si>
    <t>Государственному первичному специальному эталону РФ единицы электрического напряжения постоянного тока – вольта в диапазоне ±(1…500) кВ ГЭТ 181-2010;</t>
  </si>
  <si>
    <t xml:space="preserve"> </t>
  </si>
  <si>
    <t xml:space="preserve">Государственному первичному специальному эталону РФ единицы электрического напряжения переменного тока промышленной частоты в диапазоне от 1 до 500 кВ ГЭТ 191-2011; </t>
  </si>
  <si>
    <t>номера приборов</t>
  </si>
  <si>
    <t>Ёмкость</t>
  </si>
  <si>
    <t>Национальный эдалон единицы электрической емкости №НЭ РБ 19-10</t>
  </si>
  <si>
    <t>Национальному эталону единицы электрического сопротивления (активного)  № НЭ РБ 33-18;</t>
  </si>
  <si>
    <t>клеймо</t>
  </si>
  <si>
    <t>Дата выдачи свидетельства</t>
  </si>
  <si>
    <t>Наименование СИ, тип/модель/ Заводской номер</t>
  </si>
  <si>
    <t>мощность</t>
  </si>
  <si>
    <t>Национальный эталон единицы электрической мощности № НЭ РБ 14-04</t>
  </si>
  <si>
    <t>Исходному эталону единицы масштабного преобразования напряжения и силы переменного тока на частоте 50 Гц №ИЭ РБ 11-06</t>
  </si>
  <si>
    <t>масштабное преобразование</t>
  </si>
  <si>
    <t>Измерения прослеживаются к:</t>
  </si>
  <si>
    <t>Рабочие записи №</t>
  </si>
  <si>
    <t>ЭК0200</t>
  </si>
  <si>
    <t>Щ41160</t>
  </si>
  <si>
    <t>Мера Сопротивления Р321 (1 Ом) № 191051;</t>
  </si>
  <si>
    <t>мера сопротивления Р321 (0,1 Ом) №13642;</t>
  </si>
  <si>
    <t>амперметр Д553 №29128</t>
  </si>
  <si>
    <t>Калибратор Fluke 5502E №2918803</t>
  </si>
  <si>
    <t>амперметр Д553 №29128;</t>
  </si>
  <si>
    <t>Действительное значение</t>
  </si>
  <si>
    <t>Вольтамперваттметр ЦЛ8516/2 №008</t>
  </si>
  <si>
    <t>мера сопротивления Р331 (100 000 Ом) №121705</t>
  </si>
  <si>
    <t>мера сопротивления Р331 (1000 Ом) №170396</t>
  </si>
  <si>
    <t>мера сопротивления Р331 (10 000 Ом) №195158</t>
  </si>
  <si>
    <t>мера сопротивления Р331 (100 Ом) №208897</t>
  </si>
  <si>
    <t>мера сопротивления Р321 (1 Ом) №191051</t>
  </si>
  <si>
    <t>мера сопротивления Р321 (10 Ом) №180545</t>
  </si>
  <si>
    <t>мера сопротивления Р321 (0,1 Ом) №226474</t>
  </si>
  <si>
    <t>мера сопротивления Р321 (0,1 Ом) №13642</t>
  </si>
  <si>
    <t>мера сопротивления Р321 (1 Ом) №177857</t>
  </si>
  <si>
    <t>мера сопротивления Р310 (0,01 Ом) №155693</t>
  </si>
  <si>
    <t>мера сопротивления Р310 (0,001 Ом) №233285</t>
  </si>
  <si>
    <t>мера сопротивления Р310 (0,01 Ом) №156163</t>
  </si>
  <si>
    <t>мера сопротивления Р310 (0,01 Ом) №102884</t>
  </si>
  <si>
    <t>калибратор электрического сопротивления  КС-100К5Т №470073</t>
  </si>
  <si>
    <t>Мера-иммитатор Р40115 №015</t>
  </si>
  <si>
    <t>магазин сопротивления 4042 №430</t>
  </si>
  <si>
    <t>магазин сопротивления 4002 №2784</t>
  </si>
  <si>
    <t>магазин сопротивления 4830/1 №8502</t>
  </si>
  <si>
    <t>магазин сопротивления 4830/1 №0984</t>
  </si>
  <si>
    <t>магазин сопротивления 4830/1 №7611</t>
  </si>
  <si>
    <t>магазин сопротивления 4830/1 №1115</t>
  </si>
  <si>
    <t>магазин сопротивления 4002 №5847</t>
  </si>
  <si>
    <t>магазин сопротивления 4002 №5840</t>
  </si>
  <si>
    <t>магазин электрического сопротивления МС-6-01/1 №312009</t>
  </si>
  <si>
    <t>блок сопротивлений №13</t>
  </si>
  <si>
    <t>Мера переходного электрического сопротивления  Р40116 №004</t>
  </si>
  <si>
    <t>калибратор Fluke 5502E №2918803</t>
  </si>
  <si>
    <t>катушка Fluke 5500A Coil №20081802</t>
  </si>
  <si>
    <t>мультиметр Fluke 28II №29300096</t>
  </si>
  <si>
    <t>киловольтметр Vitrek 4700 №017755</t>
  </si>
  <si>
    <t>мультиметр GDM-78261 №855541</t>
  </si>
  <si>
    <t>делитель HVL-100 №019598</t>
  </si>
  <si>
    <t>мультиметр ZEN-MM31-13 №R180001802</t>
  </si>
  <si>
    <t>HV</t>
  </si>
  <si>
    <t>Расчет неопределенности измерения</t>
  </si>
  <si>
    <t>Расчет неопределенности по типу А</t>
  </si>
  <si>
    <t>Расчет неопределенности по типу B</t>
  </si>
  <si>
    <t>Инженер по метрологии 1к, А.Г. Валенда</t>
  </si>
  <si>
    <t>эталоны</t>
  </si>
  <si>
    <t>U~</t>
  </si>
  <si>
    <t xml:space="preserve">Национальному эталону единицы напряжения переменного тока в диапазоне частот  от 10 Гц до 2 ГГц № НЭ РБ 5-01, эквивалентность эталона подтверждена ключевыми сличениями  COOMET.EM-K6.a № 566/UA/12;
</t>
  </si>
  <si>
    <t>U=</t>
  </si>
  <si>
    <t xml:space="preserve">Национальному эталону единицы напряжения - вольта №НЭ РБ 10-02, эквивалентность которого подтверждена ключевыми сличениями COOMET  №542/RU/11 (COOMET.EM.BIPM-K10b);
</t>
  </si>
  <si>
    <t>Государственному первичному эталону единицы электрического сопротивления ГЭТ 14-2014, Россия</t>
  </si>
  <si>
    <t>I~</t>
  </si>
  <si>
    <t>I=</t>
  </si>
  <si>
    <t>R=~</t>
  </si>
  <si>
    <t xml:space="preserve">Национальному эталону единицы напряжения – вольта № НЭ РБ 10-02,   Государственному первичному эталону единицы электрического сопротивления ГЭТ 14-2014 (Россия), эквивалентность НЭ РБ 10-02 подтверждена прямыми ключевыми сличениями COOMET  №542/RU/11 (COOMET.EM.BIPM-K10b);
</t>
  </si>
  <si>
    <t>U HV ~</t>
  </si>
  <si>
    <t>U HV =</t>
  </si>
  <si>
    <t>W~</t>
  </si>
  <si>
    <t>Национальному эталону единицы электрической мощности № НЭ РБ 14-04, эквивалентность которого подтверждена сличениями COOMET 695/UA-a/16 (COOMET.EM-K5);</t>
  </si>
  <si>
    <t>Национальному эталону единицы электрической емкости №19-10,  эквивалентность которого подтверждена сличениями COOMET 345/UA/05 (COOMET.EM-S4);</t>
  </si>
  <si>
    <t>С</t>
  </si>
  <si>
    <t>Национальному эталону единицы напряжения переменного тока в диапазоне частот  от 10 Гц до 2 ГГц № НЭ РБ 5-01, Государственному первичному эталону единицы электрического сопротивления ГЭТ 14-2014 (Россия), эквивалентность  НЭ РБ 5-01 подтверждена ключевыми сличениями  COOMET.EM-K6.a № 566/UA/12;</t>
  </si>
  <si>
    <t>Установка высоковольтная</t>
  </si>
  <si>
    <t>АИД-70</t>
  </si>
  <si>
    <t>ОАО "МЭТЗ ИМ. В.И.КОЗЛОВА",</t>
  </si>
  <si>
    <t>ул. Уральская, 4, каб. 502, 220037, г. Минск</t>
  </si>
  <si>
    <t>Метод непосредственной оценки / МРП МК 42 13.455-2016</t>
  </si>
  <si>
    <t>киловольтметр Vitrek 4700 №017755,</t>
  </si>
  <si>
    <t>делитель HVL-100 №019598,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</si>
</sst>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_₽_-;\-* #,##0.00\ _₽_-;_-* &quot;-&quot;??\ _₽_-;_-@_-"/>
    <numFmt numFmtId="165" formatCode="0.000"/>
    <numFmt numFmtId="166" formatCode="0.0000"/>
    <numFmt numFmtId="167" formatCode="0.0"/>
    <numFmt numFmtId="168" formatCode="0.000000"/>
    <numFmt numFmtId="169" formatCode="0.0E+00"/>
  </numFmts>
  <fonts count="29" x14ac:knownFonts="1">
    <font>
      <sz val="12"/>
      <color theme="1"/>
      <name val="Times New Roman"/>
      <family val="2"/>
      <charset val="204"/>
    </font>
    <font>
      <sz val="8"/>
      <color indexed="8"/>
      <name val="Segoe UI Light"/>
      <family val="2"/>
      <charset val="204"/>
    </font>
    <font>
      <b/>
      <sz val="8"/>
      <color indexed="8"/>
      <name val="Segoe UI Light"/>
      <family val="2"/>
      <charset val="204"/>
    </font>
    <font>
      <b/>
      <i/>
      <sz val="8"/>
      <color indexed="8"/>
      <name val="Segoe UI Light"/>
      <family val="2"/>
      <charset val="204"/>
    </font>
    <font>
      <b/>
      <i/>
      <vertAlign val="subscript"/>
      <sz val="8"/>
      <color indexed="8"/>
      <name val="Segoe UI Light"/>
      <family val="2"/>
      <charset val="204"/>
    </font>
    <font>
      <b/>
      <vertAlign val="subscript"/>
      <sz val="8"/>
      <color indexed="8"/>
      <name val="Segoe UI Light"/>
      <family val="2"/>
      <charset val="204"/>
    </font>
    <font>
      <sz val="8"/>
      <color indexed="10"/>
      <name val="Segoe UI Light"/>
      <family val="2"/>
      <charset val="204"/>
    </font>
    <font>
      <i/>
      <u/>
      <sz val="8"/>
      <color indexed="8"/>
      <name val="Segoe UI Light"/>
      <family val="2"/>
      <charset val="204"/>
    </font>
    <font>
      <sz val="6"/>
      <color indexed="8"/>
      <name val="Segoe UI Light"/>
      <family val="2"/>
      <charset val="204"/>
    </font>
    <font>
      <i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  <font>
      <b/>
      <i/>
      <u/>
      <sz val="8"/>
      <color indexed="8"/>
      <name val="Segoe UI Light"/>
      <family val="2"/>
      <charset val="204"/>
    </font>
    <font>
      <b/>
      <sz val="8"/>
      <color indexed="8"/>
      <name val="Segoe UI Light"/>
      <family val="2"/>
      <charset val="204"/>
    </font>
    <font>
      <b/>
      <i/>
      <u/>
      <sz val="8"/>
      <color indexed="8"/>
      <name val="Segoe UI Light"/>
      <family val="2"/>
      <charset val="204"/>
    </font>
    <font>
      <i/>
      <sz val="8"/>
      <color indexed="8"/>
      <name val="Segoe UI Light"/>
      <family val="2"/>
      <charset val="204"/>
    </font>
    <font>
      <i/>
      <sz val="10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8"/>
      <name val="Times New Roman"/>
      <family val="2"/>
      <charset val="204"/>
    </font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10"/>
      <color indexed="8"/>
      <name val="Segoe UI Light"/>
      <family val="2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164" fontId="18" fillId="0" borderId="0" applyFont="0" applyFill="0" applyBorder="0" applyAlignment="0" applyProtection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22" fillId="0" borderId="0"/>
    <xf numFmtId="0" fontId="20" fillId="0" borderId="0"/>
    <xf numFmtId="9" fontId="19" fillId="0" borderId="0" applyFont="0" applyFill="0" applyBorder="0" applyAlignment="0" applyProtection="0"/>
  </cellStyleXfs>
  <cellXfs count="13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" fillId="0" borderId="2" xfId="0" applyFont="1" applyBorder="1"/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66" fontId="1" fillId="0" borderId="3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68" fontId="1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49" fontId="7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top"/>
    </xf>
    <xf numFmtId="10" fontId="1" fillId="0" borderId="2" xfId="0" applyNumberFormat="1" applyFont="1" applyBorder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right" vertical="center"/>
    </xf>
    <xf numFmtId="167" fontId="1" fillId="0" borderId="0" xfId="0" applyNumberFormat="1" applyFont="1"/>
    <xf numFmtId="0" fontId="1" fillId="0" borderId="0" xfId="0" applyFont="1" applyAlignment="1"/>
    <xf numFmtId="0" fontId="0" fillId="0" borderId="0" xfId="0" applyBorder="1"/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14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169" fontId="1" fillId="0" borderId="0" xfId="0" applyNumberFormat="1" applyFont="1" applyBorder="1" applyAlignment="1">
      <alignment horizontal="center" vertical="center"/>
    </xf>
    <xf numFmtId="11" fontId="1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7" fontId="16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168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left" vertical="center"/>
    </xf>
    <xf numFmtId="166" fontId="1" fillId="0" borderId="0" xfId="0" applyNumberFormat="1" applyFont="1"/>
    <xf numFmtId="10" fontId="1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6" fillId="0" borderId="0" xfId="0" applyFont="1"/>
    <xf numFmtId="0" fontId="16" fillId="0" borderId="0" xfId="0" applyFont="1" applyFill="1" applyBorder="1"/>
    <xf numFmtId="0" fontId="7" fillId="0" borderId="0" xfId="0" applyFont="1" applyAlignment="1">
      <alignment vertical="top"/>
    </xf>
    <xf numFmtId="14" fontId="7" fillId="0" borderId="0" xfId="0" applyNumberFormat="1" applyFont="1" applyAlignment="1">
      <alignment horizontal="left" vertical="top"/>
    </xf>
    <xf numFmtId="0" fontId="7" fillId="0" borderId="0" xfId="0" applyFont="1" applyAlignment="1">
      <alignment horizontal="right" vertical="center"/>
    </xf>
    <xf numFmtId="0" fontId="1" fillId="0" borderId="3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6" fillId="0" borderId="0" xfId="0" applyFont="1" applyBorder="1"/>
    <xf numFmtId="49" fontId="16" fillId="0" borderId="0" xfId="0" applyNumberFormat="1" applyFont="1" applyFill="1" applyBorder="1" applyAlignment="1">
      <alignment horizontal="right"/>
    </xf>
    <xf numFmtId="49" fontId="16" fillId="0" borderId="0" xfId="0" applyNumberFormat="1" applyFont="1" applyBorder="1" applyAlignment="1">
      <alignment horizontal="right"/>
    </xf>
    <xf numFmtId="49" fontId="0" fillId="0" borderId="0" xfId="0" applyNumberFormat="1" applyBorder="1"/>
    <xf numFmtId="49" fontId="0" fillId="0" borderId="0" xfId="0" applyNumberFormat="1"/>
    <xf numFmtId="0" fontId="1" fillId="0" borderId="6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0" fillId="0" borderId="0" xfId="0" applyNumberFormat="1" applyBorder="1"/>
    <xf numFmtId="0" fontId="0" fillId="0" borderId="0" xfId="0" applyNumberFormat="1"/>
    <xf numFmtId="0" fontId="1" fillId="0" borderId="6" xfId="0" applyNumberFormat="1" applyFont="1" applyBorder="1" applyAlignment="1">
      <alignment horizontal="left"/>
    </xf>
    <xf numFmtId="0" fontId="1" fillId="0" borderId="7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0" fontId="1" fillId="0" borderId="9" xfId="0" applyNumberFormat="1" applyFont="1" applyBorder="1" applyAlignment="1">
      <alignment horizontal="left"/>
    </xf>
    <xf numFmtId="0" fontId="1" fillId="0" borderId="9" xfId="0" applyNumberFormat="1" applyFont="1" applyBorder="1" applyAlignment="1">
      <alignment horizontal="center" vertical="center"/>
    </xf>
    <xf numFmtId="0" fontId="14" fillId="0" borderId="0" xfId="0" applyNumberFormat="1" applyFont="1" applyAlignment="1">
      <alignment horizontal="left" vertical="center"/>
    </xf>
    <xf numFmtId="0" fontId="1" fillId="0" borderId="6" xfId="0" applyNumberFormat="1" applyFont="1" applyBorder="1"/>
    <xf numFmtId="0" fontId="1" fillId="0" borderId="9" xfId="0" applyNumberFormat="1" applyFont="1" applyBorder="1"/>
    <xf numFmtId="0" fontId="1" fillId="0" borderId="7" xfId="0" applyNumberFormat="1" applyFont="1" applyBorder="1"/>
    <xf numFmtId="0" fontId="0" fillId="0" borderId="0" xfId="0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2" fillId="0" borderId="0" xfId="0" applyFont="1" applyBorder="1"/>
    <xf numFmtId="0" fontId="1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10" fontId="3" fillId="0" borderId="0" xfId="0" applyNumberFormat="1" applyFont="1" applyBorder="1" applyAlignment="1">
      <alignment horizontal="left" vertical="center"/>
    </xf>
    <xf numFmtId="167" fontId="1" fillId="0" borderId="0" xfId="0" applyNumberFormat="1" applyFont="1" applyBorder="1" applyAlignment="1">
      <alignment horizontal="right" vertical="center"/>
    </xf>
    <xf numFmtId="168" fontId="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/>
    <xf numFmtId="167" fontId="1" fillId="0" borderId="0" xfId="0" applyNumberFormat="1" applyFont="1" applyBorder="1"/>
    <xf numFmtId="14" fontId="1" fillId="0" borderId="7" xfId="0" applyNumberFormat="1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left" vertical="center"/>
    </xf>
    <xf numFmtId="166" fontId="1" fillId="0" borderId="0" xfId="0" applyNumberFormat="1" applyFont="1" applyBorder="1"/>
    <xf numFmtId="0" fontId="17" fillId="0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6" fillId="0" borderId="0" xfId="0" applyFont="1"/>
    <xf numFmtId="0" fontId="25" fillId="0" borderId="4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right"/>
    </xf>
    <xf numFmtId="0" fontId="7" fillId="0" borderId="0" xfId="0" applyFont="1" applyAlignment="1">
      <alignment vertical="top" wrapText="1"/>
    </xf>
    <xf numFmtId="0" fontId="15" fillId="0" borderId="0" xfId="0" applyFont="1"/>
    <xf numFmtId="14" fontId="7" fillId="0" borderId="0" xfId="0" applyNumberFormat="1" applyFont="1" applyAlignment="1">
      <alignment vertical="center"/>
    </xf>
    <xf numFmtId="0" fontId="15" fillId="0" borderId="11" xfId="0" applyFont="1" applyBorder="1" applyAlignment="1">
      <alignment vertical="center"/>
    </xf>
    <xf numFmtId="49" fontId="15" fillId="0" borderId="11" xfId="0" applyNumberFormat="1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" xfId="0" applyFont="1" applyBorder="1" applyAlignment="1"/>
    <xf numFmtId="0" fontId="27" fillId="0" borderId="0" xfId="0" applyFont="1"/>
    <xf numFmtId="0" fontId="7" fillId="0" borderId="0" xfId="0" applyFont="1" applyAlignment="1">
      <alignment horizontal="left" vertical="top"/>
    </xf>
    <xf numFmtId="0" fontId="7" fillId="0" borderId="0" xfId="0" applyNumberFormat="1" applyFont="1"/>
    <xf numFmtId="0" fontId="15" fillId="0" borderId="0" xfId="0" applyFont="1" applyAlignment="1"/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left" wrapText="1"/>
    </xf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 vertical="top"/>
    </xf>
    <xf numFmtId="0" fontId="1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horizontal="right"/>
    </xf>
    <xf numFmtId="0" fontId="28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</cellXfs>
  <cellStyles count="8">
    <cellStyle name="Comma 2" xfId="1"/>
    <cellStyle name="Normal 2" xfId="2"/>
    <cellStyle name="Normal 2 2" xfId="3"/>
    <cellStyle name="Percent 2" xfId="4"/>
    <cellStyle name="Обычный" xfId="0" builtinId="0"/>
    <cellStyle name="Обычный 2" xfId="5"/>
    <cellStyle name="Обычный 3" xfId="6"/>
    <cellStyle name="Процентный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95250</xdr:rowOff>
        </xdr:from>
        <xdr:to>
          <xdr:col>10</xdr:col>
          <xdr:colOff>476250</xdr:colOff>
          <xdr:row>2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3</xdr:row>
          <xdr:rowOff>9525</xdr:rowOff>
        </xdr:from>
        <xdr:to>
          <xdr:col>10</xdr:col>
          <xdr:colOff>485775</xdr:colOff>
          <xdr:row>4</xdr:row>
          <xdr:rowOff>104775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933450</xdr:colOff>
          <xdr:row>1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</xdr:row>
          <xdr:rowOff>114300</xdr:rowOff>
        </xdr:from>
        <xdr:to>
          <xdr:col>13</xdr:col>
          <xdr:colOff>647700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Нумерация страниц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84"/>
  <sheetViews>
    <sheetView tabSelected="1" view="pageBreakPreview" topLeftCell="A10" zoomScale="115" zoomScaleNormal="160" zoomScaleSheetLayoutView="115" zoomScalePageLayoutView="160" workbookViewId="0">
      <selection activeCell="A26" sqref="A26"/>
    </sheetView>
  </sheetViews>
  <sheetFormatPr defaultRowHeight="10.5" x14ac:dyDescent="0.15"/>
  <cols>
    <col min="1" max="1" width="9" style="1"/>
    <col min="2" max="2" width="10.25" style="1" customWidth="1"/>
    <col min="3" max="3" width="12.375" style="1" customWidth="1"/>
    <col min="4" max="16384" width="9" style="1"/>
  </cols>
  <sheetData>
    <row r="1" spans="1:9" x14ac:dyDescent="0.15">
      <c r="C1" s="125" t="s">
        <v>22</v>
      </c>
      <c r="D1" s="125"/>
      <c r="E1" s="125"/>
      <c r="F1" s="41">
        <f>D45</f>
        <v>1096</v>
      </c>
      <c r="G1" s="40">
        <v>-42</v>
      </c>
    </row>
    <row r="3" spans="1:9" x14ac:dyDescent="0.15">
      <c r="A3" s="24" t="s">
        <v>50</v>
      </c>
      <c r="C3" s="38" t="s">
        <v>214</v>
      </c>
      <c r="D3" s="38"/>
      <c r="E3" s="38"/>
      <c r="F3" s="38"/>
      <c r="G3" s="38"/>
      <c r="H3" s="38"/>
      <c r="I3" s="38"/>
    </row>
    <row r="4" spans="1:9" x14ac:dyDescent="0.15">
      <c r="C4" s="59" t="s">
        <v>215</v>
      </c>
      <c r="D4" s="59"/>
      <c r="E4" s="59"/>
      <c r="F4" s="59"/>
      <c r="G4" s="59"/>
      <c r="H4" s="59"/>
      <c r="I4" s="59"/>
    </row>
    <row r="5" spans="1:9" x14ac:dyDescent="0.15">
      <c r="D5" s="25"/>
      <c r="E5" s="25"/>
      <c r="F5" s="25"/>
      <c r="G5" s="25"/>
      <c r="H5" s="25"/>
      <c r="I5" s="25"/>
    </row>
    <row r="6" spans="1:9" x14ac:dyDescent="0.15">
      <c r="A6" s="1" t="s">
        <v>23</v>
      </c>
      <c r="C6" s="59">
        <v>2093</v>
      </c>
      <c r="D6" s="59"/>
      <c r="E6" s="59"/>
      <c r="F6" s="59"/>
      <c r="G6" s="59"/>
      <c r="H6" s="59"/>
      <c r="I6" s="59"/>
    </row>
    <row r="8" spans="1:9" ht="11.25" customHeight="1" x14ac:dyDescent="0.15">
      <c r="A8" s="1" t="s">
        <v>24</v>
      </c>
      <c r="B8" s="59" t="s">
        <v>216</v>
      </c>
      <c r="C8" s="112"/>
      <c r="D8" s="112"/>
      <c r="E8" s="112"/>
      <c r="F8" s="112"/>
      <c r="G8" s="112"/>
      <c r="H8" s="112"/>
      <c r="I8" s="112"/>
    </row>
    <row r="9" spans="1:9" ht="12" customHeight="1" x14ac:dyDescent="0.15">
      <c r="B9" s="59" t="s">
        <v>217</v>
      </c>
      <c r="C9" s="59"/>
      <c r="D9" s="59"/>
      <c r="E9" s="59"/>
      <c r="F9" s="59"/>
      <c r="G9" s="59"/>
      <c r="H9" s="59"/>
      <c r="I9" s="59"/>
    </row>
    <row r="10" spans="1:9" x14ac:dyDescent="0.15">
      <c r="C10" s="59"/>
      <c r="D10" s="59"/>
      <c r="E10" s="59"/>
      <c r="F10" s="59"/>
      <c r="G10" s="59"/>
      <c r="H10" s="59"/>
      <c r="I10" s="59"/>
    </row>
    <row r="11" spans="1:9" x14ac:dyDescent="0.15">
      <c r="C11" s="6"/>
      <c r="D11" s="6"/>
      <c r="E11" s="6"/>
      <c r="F11" s="6"/>
      <c r="G11" s="6"/>
      <c r="H11" s="6"/>
      <c r="I11" s="6"/>
    </row>
    <row r="12" spans="1:9" x14ac:dyDescent="0.15">
      <c r="A12" s="1" t="s">
        <v>70</v>
      </c>
      <c r="C12" s="32"/>
      <c r="D12" s="32" t="s">
        <v>66</v>
      </c>
      <c r="E12" s="60"/>
      <c r="F12" s="59"/>
      <c r="G12" s="59"/>
      <c r="H12" s="59"/>
      <c r="I12" s="59"/>
    </row>
    <row r="14" spans="1:9" x14ac:dyDescent="0.15">
      <c r="A14" s="1" t="s">
        <v>69</v>
      </c>
      <c r="C14" s="127" t="s">
        <v>59</v>
      </c>
      <c r="D14" s="127"/>
      <c r="E14" s="127"/>
      <c r="F14" s="127"/>
      <c r="G14" s="127"/>
      <c r="H14" s="127"/>
      <c r="I14" s="127"/>
    </row>
    <row r="16" spans="1:9" x14ac:dyDescent="0.15">
      <c r="A16" s="1" t="s">
        <v>25</v>
      </c>
      <c r="C16" s="26" t="s">
        <v>26</v>
      </c>
      <c r="D16" s="114">
        <v>44172</v>
      </c>
      <c r="E16" s="27"/>
      <c r="F16" s="24" t="s">
        <v>27</v>
      </c>
      <c r="G16" s="114">
        <f>D16</f>
        <v>44172</v>
      </c>
      <c r="I16" s="27"/>
    </row>
    <row r="17" spans="1:9" x14ac:dyDescent="0.15">
      <c r="A17" s="131" t="s">
        <v>142</v>
      </c>
      <c r="B17" s="131"/>
      <c r="D17" s="114">
        <v>44172</v>
      </c>
      <c r="E17" s="114"/>
    </row>
    <row r="18" spans="1:9" x14ac:dyDescent="0.15">
      <c r="A18" s="1" t="s">
        <v>28</v>
      </c>
      <c r="C18" s="113" t="s">
        <v>218</v>
      </c>
    </row>
    <row r="19" spans="1:9" x14ac:dyDescent="0.15">
      <c r="C19" s="113"/>
    </row>
    <row r="20" spans="1:9" x14ac:dyDescent="0.15">
      <c r="A20" s="126" t="s">
        <v>29</v>
      </c>
      <c r="B20" s="126"/>
    </row>
    <row r="21" spans="1:9" x14ac:dyDescent="0.15">
      <c r="A21" s="126"/>
      <c r="B21" s="126"/>
    </row>
    <row r="23" spans="1:9" x14ac:dyDescent="0.15">
      <c r="A23" s="117" t="s">
        <v>143</v>
      </c>
      <c r="B23" s="118"/>
      <c r="C23" s="118"/>
      <c r="D23" s="118"/>
      <c r="E23" s="118"/>
      <c r="F23" s="118"/>
      <c r="G23" s="118"/>
      <c r="H23" s="118"/>
      <c r="I23" s="119"/>
    </row>
    <row r="24" spans="1:9" x14ac:dyDescent="0.15">
      <c r="A24" s="115" t="s">
        <v>219</v>
      </c>
      <c r="B24" s="115"/>
      <c r="C24" s="115"/>
      <c r="D24" s="115"/>
      <c r="E24" s="115"/>
      <c r="F24" s="118"/>
      <c r="G24" s="118"/>
      <c r="H24" s="118"/>
      <c r="I24" s="116"/>
    </row>
    <row r="25" spans="1:9" x14ac:dyDescent="0.15">
      <c r="A25" s="115" t="s">
        <v>220</v>
      </c>
      <c r="B25" s="115"/>
      <c r="C25" s="115"/>
      <c r="D25" s="115"/>
      <c r="E25" s="115"/>
      <c r="F25" s="118"/>
      <c r="G25" s="118"/>
      <c r="H25" s="118"/>
      <c r="I25" s="116"/>
    </row>
    <row r="26" spans="1:9" x14ac:dyDescent="0.15">
      <c r="A26" s="115" t="s">
        <v>187</v>
      </c>
      <c r="B26" s="115"/>
      <c r="C26" s="115"/>
      <c r="D26" s="115"/>
      <c r="E26" s="115"/>
      <c r="F26" s="118"/>
      <c r="G26" s="118"/>
      <c r="H26" s="118"/>
      <c r="I26" s="116"/>
    </row>
    <row r="27" spans="1:9" x14ac:dyDescent="0.15">
      <c r="A27" s="115"/>
      <c r="B27" s="115"/>
      <c r="C27" s="115"/>
      <c r="D27" s="115"/>
      <c r="E27" s="115"/>
      <c r="F27" s="118"/>
      <c r="G27" s="118"/>
      <c r="H27" s="118"/>
      <c r="I27" s="116"/>
    </row>
    <row r="28" spans="1:9" x14ac:dyDescent="0.15">
      <c r="A28" s="115"/>
      <c r="B28" s="115"/>
      <c r="C28" s="115"/>
      <c r="D28" s="115"/>
      <c r="E28" s="115"/>
      <c r="F28" s="118"/>
      <c r="G28" s="118"/>
      <c r="H28" s="118"/>
      <c r="I28" s="116"/>
    </row>
    <row r="29" spans="1:9" x14ac:dyDescent="0.15">
      <c r="A29" s="115"/>
      <c r="B29" s="115"/>
      <c r="C29" s="115"/>
      <c r="D29" s="115"/>
      <c r="E29" s="115"/>
      <c r="F29" s="118"/>
      <c r="G29" s="118"/>
      <c r="H29" s="118"/>
      <c r="I29" s="116"/>
    </row>
    <row r="30" spans="1:9" x14ac:dyDescent="0.15">
      <c r="A30" s="1" t="s">
        <v>44</v>
      </c>
      <c r="C30" s="27" t="s">
        <v>38</v>
      </c>
    </row>
    <row r="31" spans="1:9" x14ac:dyDescent="0.15">
      <c r="A31" s="24" t="s">
        <v>30</v>
      </c>
    </row>
    <row r="32" spans="1:9" x14ac:dyDescent="0.15">
      <c r="A32" s="24"/>
    </row>
    <row r="33" spans="1:5" x14ac:dyDescent="0.15">
      <c r="A33" s="24" t="s">
        <v>35</v>
      </c>
      <c r="C33" s="28" t="s">
        <v>37</v>
      </c>
    </row>
    <row r="34" spans="1:5" x14ac:dyDescent="0.15">
      <c r="A34" s="24"/>
    </row>
    <row r="35" spans="1:5" x14ac:dyDescent="0.15">
      <c r="A35" s="24" t="s">
        <v>65</v>
      </c>
      <c r="C35" s="29" t="s">
        <v>37</v>
      </c>
    </row>
    <row r="36" spans="1:5" x14ac:dyDescent="0.15">
      <c r="A36" s="24"/>
    </row>
    <row r="37" spans="1:5" x14ac:dyDescent="0.15">
      <c r="A37" s="24" t="s">
        <v>36</v>
      </c>
    </row>
    <row r="38" spans="1:5" x14ac:dyDescent="0.15">
      <c r="A38" s="24"/>
    </row>
    <row r="39" spans="1:5" x14ac:dyDescent="0.15">
      <c r="A39" s="24" t="s">
        <v>72</v>
      </c>
      <c r="C39" s="29" t="s">
        <v>38</v>
      </c>
    </row>
    <row r="40" spans="1:5" x14ac:dyDescent="0.15">
      <c r="A40" s="24"/>
    </row>
    <row r="41" spans="1:5" x14ac:dyDescent="0.15">
      <c r="A41" s="24" t="s">
        <v>31</v>
      </c>
      <c r="C41" s="29" t="s">
        <v>39</v>
      </c>
    </row>
    <row r="43" spans="1:5" x14ac:dyDescent="0.15">
      <c r="A43" s="1" t="s">
        <v>32</v>
      </c>
      <c r="C43" s="28" t="s">
        <v>43</v>
      </c>
    </row>
    <row r="45" spans="1:5" x14ac:dyDescent="0.15">
      <c r="A45" s="1" t="s">
        <v>40</v>
      </c>
      <c r="C45" s="32" t="s">
        <v>41</v>
      </c>
      <c r="D45" s="61">
        <v>1096</v>
      </c>
      <c r="E45" s="28">
        <v>-42</v>
      </c>
    </row>
    <row r="47" spans="1:5" x14ac:dyDescent="0.15">
      <c r="A47" s="1" t="s">
        <v>42</v>
      </c>
      <c r="D47" s="30" t="s">
        <v>141</v>
      </c>
    </row>
    <row r="49" spans="1:11" x14ac:dyDescent="0.15">
      <c r="A49" s="132" t="s">
        <v>148</v>
      </c>
      <c r="B49" s="132"/>
    </row>
    <row r="50" spans="1:11" x14ac:dyDescent="0.15">
      <c r="A50" s="124" t="s">
        <v>199</v>
      </c>
      <c r="K50" s="1" t="s">
        <v>198</v>
      </c>
    </row>
    <row r="51" spans="1:11" x14ac:dyDescent="0.15">
      <c r="A51" s="124" t="s">
        <v>201</v>
      </c>
      <c r="K51" s="1" t="s">
        <v>200</v>
      </c>
    </row>
    <row r="52" spans="1:11" x14ac:dyDescent="0.15">
      <c r="A52" s="113" t="s">
        <v>202</v>
      </c>
      <c r="K52" s="1" t="s">
        <v>205</v>
      </c>
    </row>
    <row r="53" spans="1:11" x14ac:dyDescent="0.15">
      <c r="A53" s="113" t="s">
        <v>213</v>
      </c>
      <c r="K53" s="1" t="s">
        <v>203</v>
      </c>
    </row>
    <row r="54" spans="1:11" x14ac:dyDescent="0.15">
      <c r="A54" s="124" t="s">
        <v>206</v>
      </c>
      <c r="K54" s="1" t="s">
        <v>204</v>
      </c>
    </row>
    <row r="55" spans="1:11" x14ac:dyDescent="0.15">
      <c r="A55" s="113" t="s">
        <v>136</v>
      </c>
      <c r="K55" s="1" t="s">
        <v>207</v>
      </c>
    </row>
    <row r="56" spans="1:11" x14ac:dyDescent="0.15">
      <c r="A56" s="113" t="s">
        <v>134</v>
      </c>
      <c r="K56" s="1" t="s">
        <v>208</v>
      </c>
    </row>
    <row r="57" spans="1:11" x14ac:dyDescent="0.15">
      <c r="A57" s="1" t="s">
        <v>210</v>
      </c>
      <c r="K57" s="1" t="s">
        <v>209</v>
      </c>
    </row>
    <row r="58" spans="1:11" x14ac:dyDescent="0.15">
      <c r="A58" s="1" t="s">
        <v>211</v>
      </c>
      <c r="K58" s="1" t="s">
        <v>212</v>
      </c>
    </row>
    <row r="60" spans="1:11" x14ac:dyDescent="0.15">
      <c r="A60" s="1" t="s">
        <v>71</v>
      </c>
      <c r="D60" s="129"/>
      <c r="E60" s="129"/>
      <c r="G60" s="120" t="s">
        <v>196</v>
      </c>
      <c r="H60" s="120"/>
    </row>
    <row r="61" spans="1:11" ht="11.25" x14ac:dyDescent="0.2">
      <c r="D61" s="130" t="s">
        <v>34</v>
      </c>
      <c r="E61" s="130"/>
      <c r="F61" s="31"/>
      <c r="G61" s="128" t="s">
        <v>33</v>
      </c>
      <c r="H61" s="128"/>
    </row>
    <row r="75" spans="1:1" x14ac:dyDescent="0.15">
      <c r="A75" s="1" t="s">
        <v>197</v>
      </c>
    </row>
    <row r="76" spans="1:1" x14ac:dyDescent="0.15">
      <c r="A76" s="124" t="s">
        <v>199</v>
      </c>
    </row>
    <row r="77" spans="1:1" x14ac:dyDescent="0.15">
      <c r="A77" s="124" t="s">
        <v>201</v>
      </c>
    </row>
    <row r="78" spans="1:1" x14ac:dyDescent="0.15">
      <c r="A78" s="113" t="s">
        <v>202</v>
      </c>
    </row>
    <row r="79" spans="1:1" x14ac:dyDescent="0.15">
      <c r="A79" s="113" t="s">
        <v>213</v>
      </c>
    </row>
    <row r="80" spans="1:1" x14ac:dyDescent="0.15">
      <c r="A80" s="124" t="s">
        <v>206</v>
      </c>
    </row>
    <row r="81" spans="1:1" x14ac:dyDescent="0.15">
      <c r="A81" s="113" t="s">
        <v>136</v>
      </c>
    </row>
    <row r="82" spans="1:1" x14ac:dyDescent="0.15">
      <c r="A82" s="113" t="s">
        <v>134</v>
      </c>
    </row>
    <row r="83" spans="1:1" x14ac:dyDescent="0.15">
      <c r="A83" s="1" t="s">
        <v>210</v>
      </c>
    </row>
    <row r="84" spans="1:1" x14ac:dyDescent="0.15">
      <c r="A84" s="1" t="s">
        <v>211</v>
      </c>
    </row>
  </sheetData>
  <sheetProtection formatCells="0" formatColumns="0" formatRows="0" insertHyperlinks="0" sort="0" autoFilter="0" pivotTables="0"/>
  <mergeCells count="8">
    <mergeCell ref="C1:E1"/>
    <mergeCell ref="A20:B21"/>
    <mergeCell ref="C14:I14"/>
    <mergeCell ref="G61:H61"/>
    <mergeCell ref="D60:E60"/>
    <mergeCell ref="D61:E61"/>
    <mergeCell ref="A17:B17"/>
    <mergeCell ref="A49:B49"/>
  </mergeCells>
  <phoneticPr fontId="0" type="noConversion"/>
  <pageMargins left="0.7" right="0.7" top="1.0208333333333333" bottom="0.75" header="0.3" footer="0.3"/>
  <pageSetup paperSize="9" scale="96" orientation="portrait" horizontalDpi="4294967295" verticalDpi="4294967295" r:id="rId1"/>
  <headerFooter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 из 5</oddFooter>
  </headerFooter>
  <drawing r:id="rId2"/>
  <legacyDrawing r:id="rId3"/>
  <controls>
    <mc:AlternateContent xmlns:mc="http://schemas.openxmlformats.org/markup-compatibility/2006">
      <mc:Choice Requires="x14">
        <control shapeId="5123" r:id="rId4" name="CommandButton2">
          <controlPr defaultSize="0" autoLine="0" r:id="rId5">
            <anchor moveWithCells="1">
              <from>
                <xdr:col>9</xdr:col>
                <xdr:colOff>180975</xdr:colOff>
                <xdr:row>3</xdr:row>
                <xdr:rowOff>9525</xdr:rowOff>
              </from>
              <to>
                <xdr:col>10</xdr:col>
                <xdr:colOff>485775</xdr:colOff>
                <xdr:row>4</xdr:row>
                <xdr:rowOff>104775</xdr:rowOff>
              </to>
            </anchor>
          </controlPr>
        </control>
      </mc:Choice>
      <mc:Fallback>
        <control shapeId="5123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9</xdr:col>
                <xdr:colOff>171450</xdr:colOff>
                <xdr:row>0</xdr:row>
                <xdr:rowOff>95250</xdr:rowOff>
              </from>
              <to>
                <xdr:col>10</xdr:col>
                <xdr:colOff>476250</xdr:colOff>
                <xdr:row>2</xdr:row>
                <xdr:rowOff>57150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X51"/>
  <sheetViews>
    <sheetView zoomScale="85" zoomScaleNormal="85" zoomScaleSheetLayoutView="55" zoomScalePageLayoutView="85" workbookViewId="0">
      <selection activeCell="B6" sqref="B6"/>
    </sheetView>
  </sheetViews>
  <sheetFormatPr defaultRowHeight="15.75" x14ac:dyDescent="0.25"/>
  <cols>
    <col min="1" max="1" width="16.875" bestFit="1" customWidth="1"/>
    <col min="2" max="2" width="10.5" style="69" bestFit="1" customWidth="1"/>
    <col min="3" max="3" width="10.5" bestFit="1" customWidth="1"/>
    <col min="4" max="4" width="9.75" bestFit="1" customWidth="1"/>
    <col min="5" max="6" width="10.5" bestFit="1" customWidth="1"/>
    <col min="7" max="7" width="10.5" customWidth="1"/>
    <col min="8" max="8" width="10.5" bestFit="1" customWidth="1"/>
    <col min="9" max="9" width="16.875" bestFit="1" customWidth="1"/>
    <col min="10" max="16" width="10.5" bestFit="1" customWidth="1"/>
    <col min="17" max="17" width="16.875" bestFit="1" customWidth="1"/>
    <col min="18" max="18" width="12.125" bestFit="1" customWidth="1"/>
    <col min="19" max="20" width="11.375" bestFit="1" customWidth="1"/>
    <col min="21" max="21" width="10.625" bestFit="1" customWidth="1"/>
    <col min="22" max="22" width="7.5" bestFit="1" customWidth="1"/>
    <col min="23" max="23" width="7.75" bestFit="1" customWidth="1"/>
  </cols>
  <sheetData>
    <row r="1" spans="1:24" ht="19.5" customHeight="1" x14ac:dyDescent="0.25">
      <c r="A1" s="133" t="s">
        <v>57</v>
      </c>
      <c r="B1" s="133"/>
      <c r="C1" s="133"/>
      <c r="D1" s="133"/>
      <c r="E1" s="102">
        <f>Протокол!D45</f>
        <v>1096</v>
      </c>
      <c r="F1" s="79">
        <v>-42</v>
      </c>
      <c r="G1" s="73"/>
      <c r="Q1" s="39"/>
      <c r="R1" s="39"/>
      <c r="S1" s="39"/>
      <c r="T1" s="39"/>
      <c r="U1" s="39"/>
      <c r="V1" s="39"/>
      <c r="W1" s="39"/>
      <c r="X1" s="39"/>
    </row>
    <row r="2" spans="1:24" x14ac:dyDescent="0.25">
      <c r="A2" s="80" t="s">
        <v>52</v>
      </c>
      <c r="B2" s="70">
        <v>100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4"/>
      <c r="S2" s="4"/>
      <c r="T2" s="4"/>
      <c r="U2" s="4"/>
      <c r="V2" s="4"/>
      <c r="W2" s="4"/>
      <c r="X2" s="39"/>
    </row>
    <row r="3" spans="1:24" x14ac:dyDescent="0.25">
      <c r="A3" s="80" t="s">
        <v>78</v>
      </c>
      <c r="B3" s="70">
        <v>0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4"/>
      <c r="S3" s="4"/>
      <c r="T3" s="4"/>
      <c r="U3" s="4"/>
      <c r="V3" s="4"/>
      <c r="W3" s="4"/>
      <c r="X3" s="39"/>
    </row>
    <row r="4" spans="1:24" x14ac:dyDescent="0.25">
      <c r="A4" s="80" t="s">
        <v>54</v>
      </c>
      <c r="B4" s="70" t="s">
        <v>1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4"/>
      <c r="S4" s="4"/>
      <c r="T4" s="4"/>
      <c r="U4" s="4"/>
      <c r="V4" s="4"/>
      <c r="W4" s="4"/>
      <c r="X4" s="39"/>
    </row>
    <row r="5" spans="1:24" x14ac:dyDescent="0.25">
      <c r="A5" s="80" t="s">
        <v>53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4"/>
      <c r="S5" s="4"/>
      <c r="T5" s="4"/>
      <c r="U5" s="4"/>
      <c r="V5" s="4"/>
      <c r="W5" s="4"/>
      <c r="X5" s="39"/>
    </row>
    <row r="6" spans="1:24" ht="16.5" thickBot="1" x14ac:dyDescent="0.3">
      <c r="A6" s="81" t="s">
        <v>60</v>
      </c>
      <c r="B6" s="78" t="s">
        <v>61</v>
      </c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4"/>
      <c r="S6" s="4"/>
      <c r="T6" s="4"/>
      <c r="U6" s="4"/>
      <c r="V6" s="4"/>
      <c r="W6" s="4"/>
      <c r="X6" s="39"/>
    </row>
    <row r="7" spans="1:24" x14ac:dyDescent="0.25">
      <c r="A7" s="82" t="s">
        <v>13</v>
      </c>
      <c r="B7" s="96">
        <f>Протокол!$D$16</f>
        <v>44172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42"/>
      <c r="S7" s="42"/>
      <c r="T7" s="42"/>
      <c r="U7" s="42"/>
      <c r="V7" s="42"/>
      <c r="W7" s="42"/>
      <c r="X7" s="39"/>
    </row>
    <row r="8" spans="1:24" x14ac:dyDescent="0.25">
      <c r="A8" s="80" t="s">
        <v>14</v>
      </c>
      <c r="B8" s="70" t="s">
        <v>101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4"/>
      <c r="S8" s="4"/>
      <c r="T8" s="4"/>
      <c r="U8" s="4"/>
      <c r="V8" s="4"/>
      <c r="W8" s="4"/>
      <c r="X8" s="39"/>
    </row>
    <row r="9" spans="1:24" x14ac:dyDescent="0.25">
      <c r="A9" s="80" t="s">
        <v>55</v>
      </c>
      <c r="B9" s="70">
        <v>22.4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4"/>
      <c r="S9" s="4"/>
      <c r="T9" s="4"/>
      <c r="U9" s="4"/>
      <c r="V9" s="4"/>
      <c r="W9" s="4"/>
      <c r="X9" s="39"/>
    </row>
    <row r="10" spans="1:24" x14ac:dyDescent="0.25">
      <c r="A10" s="80" t="s">
        <v>73</v>
      </c>
      <c r="B10" s="70">
        <v>38.4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4"/>
      <c r="S10" s="4"/>
      <c r="T10" s="4"/>
      <c r="U10" s="4"/>
      <c r="V10" s="4"/>
      <c r="W10" s="4"/>
      <c r="X10" s="39"/>
    </row>
    <row r="11" spans="1:24" x14ac:dyDescent="0.25">
      <c r="A11" s="80" t="s">
        <v>56</v>
      </c>
      <c r="B11" s="70">
        <v>102.9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4"/>
      <c r="S11" s="4"/>
      <c r="T11" s="4"/>
      <c r="U11" s="4"/>
      <c r="V11" s="4"/>
      <c r="W11" s="4"/>
      <c r="X11" s="39"/>
    </row>
    <row r="12" spans="1:24" ht="16.5" thickBot="1" x14ac:dyDescent="0.3">
      <c r="A12" s="81" t="s">
        <v>15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3"/>
      <c r="S12" s="3"/>
      <c r="T12" s="3"/>
      <c r="U12" s="3"/>
      <c r="V12" s="3"/>
      <c r="W12" s="3"/>
      <c r="X12" s="39"/>
    </row>
    <row r="13" spans="1:24" s="73" customFormat="1" x14ac:dyDescent="0.25">
      <c r="A13" s="103">
        <v>1</v>
      </c>
      <c r="B13" s="70">
        <v>1.0075000000000001</v>
      </c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2"/>
    </row>
    <row r="14" spans="1:24" s="73" customFormat="1" x14ac:dyDescent="0.25">
      <c r="A14" s="103">
        <v>2</v>
      </c>
      <c r="B14" s="70">
        <v>2</v>
      </c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2"/>
    </row>
    <row r="15" spans="1:24" s="73" customFormat="1" x14ac:dyDescent="0.25">
      <c r="A15" s="103">
        <v>3</v>
      </c>
      <c r="B15" s="70">
        <v>1.0075000000000001</v>
      </c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2"/>
    </row>
    <row r="16" spans="1:24" s="73" customFormat="1" x14ac:dyDescent="0.25">
      <c r="A16" s="103">
        <v>4</v>
      </c>
      <c r="B16" s="70">
        <v>3</v>
      </c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2"/>
    </row>
    <row r="17" spans="1:24" s="73" customFormat="1" x14ac:dyDescent="0.25">
      <c r="A17" s="103">
        <v>5</v>
      </c>
      <c r="B17" s="70">
        <v>5</v>
      </c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2"/>
    </row>
    <row r="18" spans="1:24" s="73" customFormat="1" x14ac:dyDescent="0.25">
      <c r="A18" s="103">
        <v>6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2"/>
    </row>
    <row r="19" spans="1:24" s="73" customFormat="1" x14ac:dyDescent="0.25">
      <c r="A19" s="103">
        <v>7</v>
      </c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2"/>
    </row>
    <row r="20" spans="1:24" s="73" customFormat="1" x14ac:dyDescent="0.25">
      <c r="A20" s="103">
        <v>8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2"/>
    </row>
    <row r="21" spans="1:24" s="73" customFormat="1" x14ac:dyDescent="0.25">
      <c r="A21" s="103">
        <v>9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2"/>
    </row>
    <row r="22" spans="1:24" s="73" customFormat="1" x14ac:dyDescent="0.25">
      <c r="A22" s="103">
        <v>10</v>
      </c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2"/>
    </row>
    <row r="23" spans="1:24" s="73" customFormat="1" x14ac:dyDescent="0.25">
      <c r="A23" s="74">
        <v>11</v>
      </c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2"/>
    </row>
    <row r="24" spans="1:24" s="73" customFormat="1" x14ac:dyDescent="0.25">
      <c r="A24" s="74">
        <v>12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2"/>
    </row>
    <row r="25" spans="1:24" s="73" customFormat="1" x14ac:dyDescent="0.25">
      <c r="A25" s="74">
        <v>13</v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2"/>
    </row>
    <row r="26" spans="1:24" s="73" customFormat="1" x14ac:dyDescent="0.25">
      <c r="A26" s="74">
        <v>14</v>
      </c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2"/>
    </row>
    <row r="27" spans="1:24" s="73" customFormat="1" x14ac:dyDescent="0.25">
      <c r="A27" s="74">
        <v>15</v>
      </c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2"/>
    </row>
    <row r="28" spans="1:24" s="73" customFormat="1" x14ac:dyDescent="0.25">
      <c r="A28" s="74">
        <v>16</v>
      </c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2"/>
    </row>
    <row r="29" spans="1:24" s="73" customFormat="1" x14ac:dyDescent="0.25">
      <c r="A29" s="74">
        <v>17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2"/>
    </row>
    <row r="30" spans="1:24" s="73" customFormat="1" x14ac:dyDescent="0.25">
      <c r="A30" s="74">
        <v>18</v>
      </c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2"/>
    </row>
    <row r="31" spans="1:24" s="73" customFormat="1" x14ac:dyDescent="0.25">
      <c r="A31" s="74">
        <v>19</v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1"/>
      <c r="S31" s="71"/>
      <c r="T31" s="71"/>
      <c r="U31" s="71"/>
      <c r="V31" s="71"/>
      <c r="W31" s="71"/>
      <c r="X31" s="72"/>
    </row>
    <row r="32" spans="1:24" s="73" customFormat="1" x14ac:dyDescent="0.25">
      <c r="A32" s="74">
        <v>20</v>
      </c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1"/>
      <c r="S32" s="71"/>
      <c r="T32" s="71"/>
      <c r="U32" s="71"/>
      <c r="V32" s="71"/>
      <c r="W32" s="71"/>
      <c r="X32" s="72"/>
    </row>
    <row r="33" spans="1:24" s="73" customFormat="1" x14ac:dyDescent="0.25">
      <c r="A33" s="74">
        <v>21</v>
      </c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1"/>
      <c r="S33" s="71"/>
      <c r="T33" s="71"/>
      <c r="U33" s="71"/>
      <c r="V33" s="71"/>
      <c r="W33" s="71"/>
      <c r="X33" s="72"/>
    </row>
    <row r="34" spans="1:24" s="73" customFormat="1" ht="16.5" thickBot="1" x14ac:dyDescent="0.3">
      <c r="A34" s="77">
        <v>22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1"/>
      <c r="S34" s="71"/>
      <c r="T34" s="71"/>
      <c r="U34" s="71"/>
      <c r="V34" s="71"/>
      <c r="W34" s="71"/>
      <c r="X34" s="72"/>
    </row>
    <row r="35" spans="1:24" x14ac:dyDescent="0.25">
      <c r="A35" s="82" t="s">
        <v>20</v>
      </c>
      <c r="B35" s="75">
        <f>IF(B13="","",COUNTIF(B13:B34,"&lt;&gt;"))</f>
        <v>5</v>
      </c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4"/>
      <c r="S35" s="4"/>
      <c r="T35" s="4"/>
      <c r="U35" s="4"/>
      <c r="V35" s="4"/>
      <c r="W35" s="4"/>
      <c r="X35" s="39"/>
    </row>
    <row r="36" spans="1:24" x14ac:dyDescent="0.25">
      <c r="A36" s="80" t="s">
        <v>16</v>
      </c>
      <c r="B36" s="70">
        <f>IF(B13="","",AVERAGE(B13:B34))</f>
        <v>2.403</v>
      </c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43"/>
      <c r="S36" s="43"/>
      <c r="T36" s="43"/>
      <c r="U36" s="43"/>
      <c r="V36" s="43"/>
      <c r="W36" s="43"/>
      <c r="X36" s="39"/>
    </row>
    <row r="37" spans="1:24" x14ac:dyDescent="0.25">
      <c r="A37" s="76" t="s">
        <v>17</v>
      </c>
      <c r="B37" s="70">
        <f>IF(B13="","",STDEV(B13:B34))</f>
        <v>1.6701846829018638</v>
      </c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44"/>
      <c r="S37" s="44"/>
      <c r="T37" s="44"/>
      <c r="U37" s="44"/>
      <c r="V37" s="44"/>
      <c r="W37" s="44"/>
      <c r="X37" s="39"/>
    </row>
    <row r="38" spans="1:24" x14ac:dyDescent="0.25">
      <c r="A38" s="76" t="s">
        <v>18</v>
      </c>
      <c r="B38" s="70">
        <f>IF(B13="","",COUNTIF(B13:B34,"&lt;&gt;")-1)</f>
        <v>4</v>
      </c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4"/>
      <c r="S38" s="4"/>
      <c r="T38" s="4"/>
      <c r="U38" s="4"/>
      <c r="V38" s="4"/>
      <c r="W38" s="4"/>
      <c r="X38" s="39"/>
    </row>
    <row r="39" spans="1:24" x14ac:dyDescent="0.25">
      <c r="A39" s="76" t="s">
        <v>19</v>
      </c>
      <c r="B39" s="70">
        <f>IF(B37="","",B37/SQRT(B35))</f>
        <v>0.74692929718949963</v>
      </c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45"/>
      <c r="S39" s="45"/>
      <c r="T39" s="45"/>
      <c r="U39" s="45"/>
      <c r="V39" s="45"/>
      <c r="W39" s="45"/>
      <c r="X39" s="39"/>
    </row>
    <row r="40" spans="1:24" x14ac:dyDescent="0.25">
      <c r="A40" s="76" t="s">
        <v>102</v>
      </c>
      <c r="B40" s="70">
        <v>1</v>
      </c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39"/>
      <c r="S40" s="39"/>
      <c r="T40" s="39"/>
      <c r="U40" s="39"/>
      <c r="V40" s="39"/>
      <c r="W40" s="39"/>
      <c r="X40" s="39"/>
    </row>
    <row r="41" spans="1:24" x14ac:dyDescent="0.25">
      <c r="A41" s="39"/>
      <c r="B41" s="68"/>
      <c r="C41" s="39"/>
      <c r="D41" s="68"/>
      <c r="E41" s="39"/>
      <c r="F41" s="68"/>
      <c r="G41" s="39"/>
      <c r="H41" s="68"/>
      <c r="I41" s="39"/>
      <c r="J41" s="68"/>
      <c r="K41" s="39"/>
      <c r="L41" s="68"/>
      <c r="M41" s="39"/>
      <c r="N41" s="68"/>
      <c r="O41" s="39"/>
      <c r="P41" s="68"/>
      <c r="Q41" s="39"/>
      <c r="R41" s="39"/>
      <c r="S41" s="39"/>
      <c r="T41" s="39"/>
      <c r="U41" s="39"/>
      <c r="V41" s="39"/>
      <c r="W41" s="39"/>
      <c r="X41" s="39"/>
    </row>
    <row r="42" spans="1:24" x14ac:dyDescent="0.25">
      <c r="Q42" s="39"/>
      <c r="R42" s="39"/>
      <c r="S42" s="39"/>
      <c r="T42" s="39"/>
      <c r="U42" s="39"/>
      <c r="V42" s="39"/>
      <c r="W42" s="39"/>
      <c r="X42" s="39"/>
    </row>
    <row r="43" spans="1:24" x14ac:dyDescent="0.25">
      <c r="Q43" s="39"/>
      <c r="R43" s="39"/>
      <c r="S43" s="39"/>
      <c r="T43" s="39"/>
      <c r="U43" s="39"/>
      <c r="V43" s="39"/>
      <c r="W43" s="39"/>
      <c r="X43" s="39"/>
    </row>
    <row r="44" spans="1:24" x14ac:dyDescent="0.25">
      <c r="Q44" s="39"/>
      <c r="R44" s="39"/>
      <c r="S44" s="39"/>
      <c r="T44" s="39"/>
      <c r="U44" s="39"/>
      <c r="V44" s="39"/>
      <c r="W44" s="39"/>
      <c r="X44" s="39"/>
    </row>
    <row r="45" spans="1:24" x14ac:dyDescent="0.25">
      <c r="Q45" s="39"/>
      <c r="R45" s="39"/>
      <c r="S45" s="39"/>
      <c r="T45" s="39"/>
      <c r="U45" s="39"/>
      <c r="V45" s="39"/>
      <c r="W45" s="39"/>
      <c r="X45" s="39"/>
    </row>
    <row r="46" spans="1:24" x14ac:dyDescent="0.25">
      <c r="Q46" s="39"/>
      <c r="R46" s="39"/>
      <c r="S46" s="39"/>
      <c r="T46" s="39"/>
      <c r="U46" s="39"/>
      <c r="V46" s="39"/>
      <c r="W46" s="39"/>
      <c r="X46" s="39"/>
    </row>
    <row r="47" spans="1:24" x14ac:dyDescent="0.25">
      <c r="Q47" s="39"/>
      <c r="R47" s="39"/>
      <c r="S47" s="39"/>
      <c r="T47" s="39"/>
      <c r="U47" s="39"/>
      <c r="V47" s="39"/>
      <c r="W47" s="39"/>
      <c r="X47" s="39"/>
    </row>
    <row r="48" spans="1:24" x14ac:dyDescent="0.25">
      <c r="Q48" s="39"/>
      <c r="R48" s="39"/>
      <c r="S48" s="39"/>
      <c r="T48" s="39"/>
      <c r="U48" s="39"/>
      <c r="V48" s="39"/>
      <c r="W48" s="39"/>
      <c r="X48" s="39"/>
    </row>
    <row r="49" spans="17:24" x14ac:dyDescent="0.25">
      <c r="Q49" s="39"/>
      <c r="R49" s="39"/>
      <c r="S49" s="39"/>
      <c r="T49" s="39"/>
      <c r="U49" s="39"/>
      <c r="V49" s="39"/>
      <c r="W49" s="39"/>
      <c r="X49" s="39"/>
    </row>
    <row r="50" spans="17:24" x14ac:dyDescent="0.25">
      <c r="Q50" s="39"/>
      <c r="R50" s="39"/>
      <c r="S50" s="39"/>
      <c r="T50" s="39"/>
      <c r="U50" s="39"/>
      <c r="V50" s="39"/>
      <c r="W50" s="39"/>
      <c r="X50" s="39"/>
    </row>
    <row r="51" spans="17:24" x14ac:dyDescent="0.25">
      <c r="Q51" s="39"/>
      <c r="R51" s="39"/>
      <c r="S51" s="39"/>
      <c r="T51" s="39"/>
      <c r="U51" s="39"/>
      <c r="V51" s="39"/>
      <c r="W51" s="39"/>
      <c r="X51" s="39"/>
    </row>
  </sheetData>
  <sheetProtection formatCells="0" formatColumns="0" formatRows="0" insertHyperlinks="0" sort="0" autoFilter="0" pivotTables="0"/>
  <mergeCells count="1">
    <mergeCell ref="A1:D1"/>
  </mergeCells>
  <phoneticPr fontId="21" type="noConversion"/>
  <pageMargins left="0.7" right="0.7" top="1.0208333333333333" bottom="0.75" header="0.3" footer="0.3"/>
  <pageSetup paperSize="9" scale="91" pageOrder="overThenDown" orientation="portrait" r:id="rId1"/>
  <headerFooter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&amp;P+2 из 5</oddFooter>
  </headerFooter>
  <colBreaks count="1" manualBreakCount="1">
    <brk id="8" max="1048575" man="1"/>
  </colBreak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933450</xdr:colOff>
                <xdr:row>1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302"/>
  <sheetViews>
    <sheetView zoomScaleNormal="100" zoomScaleSheetLayoutView="115" workbookViewId="0">
      <selection activeCell="J24" sqref="A11:J24"/>
    </sheetView>
  </sheetViews>
  <sheetFormatPr defaultRowHeight="10.5" x14ac:dyDescent="0.15"/>
  <cols>
    <col min="1" max="1" width="26.875" style="1" customWidth="1"/>
    <col min="2" max="2" width="11.625" style="1" bestFit="1" customWidth="1"/>
    <col min="3" max="3" width="7.875" style="1" bestFit="1" customWidth="1"/>
    <col min="4" max="4" width="7.75" style="1" bestFit="1" customWidth="1"/>
    <col min="5" max="5" width="3.125" style="1" bestFit="1" customWidth="1"/>
    <col min="6" max="6" width="11.375" style="1" bestFit="1" customWidth="1"/>
    <col min="7" max="7" width="6.75" style="1" bestFit="1" customWidth="1"/>
    <col min="8" max="8" width="12.625" style="1" bestFit="1" customWidth="1"/>
    <col min="9" max="9" width="7.375" style="1" bestFit="1" customWidth="1"/>
    <col min="10" max="10" width="8.125" style="1" bestFit="1" customWidth="1"/>
    <col min="11" max="16384" width="9" style="1"/>
  </cols>
  <sheetData>
    <row r="1" spans="1:13" x14ac:dyDescent="0.15">
      <c r="A1" s="125" t="s">
        <v>57</v>
      </c>
      <c r="B1" s="125"/>
      <c r="C1" s="125"/>
      <c r="D1" s="125"/>
      <c r="E1" s="125"/>
      <c r="F1" s="41"/>
      <c r="G1" s="40">
        <v>-42</v>
      </c>
    </row>
    <row r="3" spans="1:13" x14ac:dyDescent="0.15">
      <c r="A3" s="2" t="s">
        <v>3</v>
      </c>
      <c r="B3" s="2"/>
      <c r="C3" s="2"/>
      <c r="D3" s="2"/>
      <c r="E3" s="2"/>
      <c r="F3" s="2"/>
      <c r="G3" s="2"/>
      <c r="H3" s="2"/>
      <c r="I3" s="2"/>
      <c r="J3" s="2"/>
      <c r="K3" s="3"/>
      <c r="L3" s="3"/>
      <c r="M3" s="3"/>
    </row>
    <row r="4" spans="1:13" x14ac:dyDescent="0.15">
      <c r="K4" s="3"/>
      <c r="L4" s="3"/>
      <c r="M4" s="3"/>
    </row>
    <row r="7" spans="1:13" x14ac:dyDescent="0.15">
      <c r="A7" s="1" t="str">
        <f>CONCATENATE(Протокол!$C$4," ","№"," ",Протокол!$C$6)</f>
        <v>АИД-70 № 2093</v>
      </c>
      <c r="F7" s="4"/>
      <c r="G7" s="4"/>
    </row>
    <row r="8" spans="1:13" x14ac:dyDescent="0.15">
      <c r="A8" s="1" t="str">
        <f>CONCATENATE("Диапазон:"," ",Измерения!B5)</f>
        <v xml:space="preserve">Диапазон: </v>
      </c>
    </row>
    <row r="11" spans="1:13" x14ac:dyDescent="0.15">
      <c r="A11" s="22"/>
      <c r="K11" s="3"/>
    </row>
    <row r="12" spans="1:13" x14ac:dyDescent="0.15">
      <c r="A12" s="22"/>
      <c r="K12" s="3"/>
    </row>
    <row r="13" spans="1:13" x14ac:dyDescent="0.15">
      <c r="K13" s="3"/>
    </row>
    <row r="14" spans="1:13" x14ac:dyDescent="0.15">
      <c r="B14" s="5"/>
      <c r="C14" s="6"/>
      <c r="D14" s="5"/>
      <c r="E14" s="6"/>
      <c r="F14" s="6"/>
      <c r="G14" s="6"/>
      <c r="H14" s="5"/>
      <c r="I14" s="5"/>
      <c r="J14" s="5"/>
      <c r="K14" s="3"/>
    </row>
    <row r="15" spans="1:13" ht="11.25" thickBot="1" x14ac:dyDescent="0.2">
      <c r="A15" s="7"/>
      <c r="B15" s="8"/>
      <c r="C15" s="8"/>
      <c r="D15" s="7"/>
      <c r="E15" s="7"/>
      <c r="F15" s="7"/>
      <c r="G15" s="7"/>
      <c r="H15" s="9"/>
      <c r="I15" s="8"/>
      <c r="J15" s="7"/>
      <c r="K15" s="3"/>
    </row>
    <row r="16" spans="1:13" x14ac:dyDescent="0.15">
      <c r="A16" s="62"/>
      <c r="B16" s="10"/>
      <c r="C16" s="11"/>
      <c r="D16" s="10"/>
      <c r="E16" s="10"/>
      <c r="F16" s="10"/>
      <c r="G16" s="4"/>
      <c r="H16" s="13"/>
      <c r="I16" s="10"/>
      <c r="J16" s="35"/>
      <c r="K16" s="3"/>
    </row>
    <row r="17" spans="1:11" x14ac:dyDescent="0.15">
      <c r="A17" s="63"/>
      <c r="B17" s="4"/>
      <c r="C17" s="12"/>
      <c r="D17" s="4"/>
      <c r="E17" s="4"/>
      <c r="F17" s="4"/>
      <c r="G17" s="4"/>
      <c r="H17" s="13"/>
      <c r="I17" s="4"/>
      <c r="J17" s="34"/>
      <c r="K17" s="3"/>
    </row>
    <row r="18" spans="1:11" ht="11.25" thickBot="1" x14ac:dyDescent="0.2">
      <c r="A18" s="64"/>
      <c r="B18" s="14"/>
      <c r="C18" s="15"/>
      <c r="D18" s="14"/>
      <c r="E18" s="14"/>
      <c r="F18" s="14"/>
      <c r="G18" s="14"/>
      <c r="H18" s="16"/>
      <c r="I18" s="14"/>
      <c r="J18" s="33"/>
      <c r="K18" s="3"/>
    </row>
    <row r="19" spans="1:11" ht="11.25" customHeight="1" x14ac:dyDescent="0.15">
      <c r="H19" s="17"/>
      <c r="I19" s="18"/>
      <c r="K19" s="3"/>
    </row>
    <row r="20" spans="1:11" x14ac:dyDescent="0.15">
      <c r="A20" s="19"/>
      <c r="H20" s="51"/>
      <c r="I20" s="52"/>
      <c r="J20" s="55"/>
      <c r="K20" s="3"/>
    </row>
    <row r="21" spans="1:11" x14ac:dyDescent="0.15">
      <c r="A21" s="19"/>
      <c r="B21" s="53"/>
      <c r="H21" s="20"/>
      <c r="K21" s="3"/>
    </row>
    <row r="22" spans="1:11" x14ac:dyDescent="0.15">
      <c r="A22" s="19"/>
      <c r="B22" s="53"/>
      <c r="H22" s="20"/>
      <c r="K22" s="3"/>
    </row>
    <row r="23" spans="1:11" x14ac:dyDescent="0.15">
      <c r="A23" s="19"/>
      <c r="F23" s="36"/>
      <c r="G23" s="23"/>
      <c r="H23" s="56"/>
      <c r="I23" s="21"/>
      <c r="K23" s="3"/>
    </row>
    <row r="24" spans="1:11" x14ac:dyDescent="0.15">
      <c r="A24" s="19"/>
      <c r="B24" s="38"/>
      <c r="C24" s="38"/>
      <c r="F24" s="37"/>
      <c r="H24" s="23"/>
      <c r="K24" s="3"/>
    </row>
    <row r="25" spans="1:11" x14ac:dyDescent="0.15">
      <c r="K25" s="3"/>
    </row>
    <row r="26" spans="1:11" x14ac:dyDescent="0.15">
      <c r="B26" s="54"/>
      <c r="K26" s="3"/>
    </row>
    <row r="27" spans="1:11" x14ac:dyDescent="0.15">
      <c r="A27" s="22"/>
      <c r="K27" s="3"/>
    </row>
    <row r="28" spans="1:11" x14ac:dyDescent="0.15">
      <c r="K28" s="3"/>
    </row>
    <row r="29" spans="1:11" x14ac:dyDescent="0.15">
      <c r="B29" s="5"/>
      <c r="C29" s="6"/>
      <c r="D29" s="5"/>
      <c r="E29" s="6"/>
      <c r="F29" s="6"/>
      <c r="G29" s="6"/>
      <c r="H29" s="5"/>
      <c r="I29" s="5"/>
      <c r="J29" s="5"/>
      <c r="K29" s="3"/>
    </row>
    <row r="30" spans="1:11" ht="11.25" thickBot="1" x14ac:dyDescent="0.2">
      <c r="A30" s="7"/>
      <c r="B30" s="8"/>
      <c r="C30" s="8"/>
      <c r="D30" s="7"/>
      <c r="E30" s="7"/>
      <c r="F30" s="7"/>
      <c r="G30" s="7"/>
      <c r="H30" s="9"/>
      <c r="I30" s="8"/>
      <c r="J30" s="7"/>
      <c r="K30" s="3"/>
    </row>
    <row r="31" spans="1:11" x14ac:dyDescent="0.15">
      <c r="A31" s="62"/>
      <c r="B31" s="10"/>
      <c r="C31" s="11"/>
      <c r="D31" s="10"/>
      <c r="E31" s="10"/>
      <c r="F31" s="10"/>
      <c r="G31" s="4"/>
      <c r="H31" s="13"/>
      <c r="I31" s="10"/>
      <c r="J31" s="35"/>
      <c r="K31" s="3"/>
    </row>
    <row r="32" spans="1:11" x14ac:dyDescent="0.15">
      <c r="A32" s="63"/>
      <c r="B32" s="4"/>
      <c r="C32" s="12"/>
      <c r="D32" s="4"/>
      <c r="E32" s="4"/>
      <c r="F32" s="4"/>
      <c r="G32" s="4"/>
      <c r="H32" s="13"/>
      <c r="I32" s="4"/>
      <c r="J32" s="34"/>
      <c r="K32" s="3"/>
    </row>
    <row r="33" spans="1:11" ht="11.25" thickBot="1" x14ac:dyDescent="0.2">
      <c r="A33" s="64"/>
      <c r="B33" s="14"/>
      <c r="C33" s="15"/>
      <c r="D33" s="14"/>
      <c r="E33" s="14"/>
      <c r="F33" s="14"/>
      <c r="G33" s="14"/>
      <c r="H33" s="16"/>
      <c r="I33" s="14"/>
      <c r="J33" s="33"/>
      <c r="K33" s="3"/>
    </row>
    <row r="34" spans="1:11" x14ac:dyDescent="0.15">
      <c r="H34" s="17"/>
      <c r="I34" s="18"/>
      <c r="K34" s="3"/>
    </row>
    <row r="35" spans="1:11" x14ac:dyDescent="0.15">
      <c r="A35" s="19"/>
      <c r="H35" s="51"/>
      <c r="I35" s="52"/>
      <c r="J35" s="55"/>
      <c r="K35" s="3"/>
    </row>
    <row r="36" spans="1:11" x14ac:dyDescent="0.15">
      <c r="A36" s="19"/>
      <c r="B36" s="53"/>
      <c r="H36" s="20"/>
      <c r="K36" s="3"/>
    </row>
    <row r="37" spans="1:11" x14ac:dyDescent="0.15">
      <c r="A37" s="19"/>
      <c r="B37" s="53"/>
      <c r="H37" s="20"/>
      <c r="K37" s="3"/>
    </row>
    <row r="38" spans="1:11" x14ac:dyDescent="0.15">
      <c r="A38" s="19"/>
      <c r="F38" s="36"/>
      <c r="G38" s="23"/>
      <c r="H38" s="56"/>
      <c r="I38" s="21"/>
      <c r="K38" s="3"/>
    </row>
    <row r="39" spans="1:11" x14ac:dyDescent="0.15">
      <c r="A39" s="19"/>
      <c r="B39" s="38"/>
      <c r="C39" s="38"/>
      <c r="F39" s="37"/>
      <c r="H39" s="23"/>
      <c r="K39" s="3"/>
    </row>
    <row r="40" spans="1:11" x14ac:dyDescent="0.15">
      <c r="K40" s="3"/>
    </row>
    <row r="41" spans="1:11" x14ac:dyDescent="0.15">
      <c r="K41" s="3"/>
    </row>
    <row r="42" spans="1:11" x14ac:dyDescent="0.15">
      <c r="A42" s="22"/>
      <c r="K42" s="3"/>
    </row>
    <row r="43" spans="1:11" x14ac:dyDescent="0.15">
      <c r="K43" s="3"/>
    </row>
    <row r="44" spans="1:11" x14ac:dyDescent="0.15">
      <c r="B44" s="5"/>
      <c r="C44" s="6"/>
      <c r="D44" s="5"/>
      <c r="E44" s="6"/>
      <c r="F44" s="6"/>
      <c r="G44" s="6"/>
      <c r="H44" s="5"/>
      <c r="I44" s="5"/>
      <c r="J44" s="5"/>
      <c r="K44" s="3"/>
    </row>
    <row r="45" spans="1:11" ht="11.25" thickBot="1" x14ac:dyDescent="0.2">
      <c r="A45" s="7"/>
      <c r="B45" s="8"/>
      <c r="C45" s="8"/>
      <c r="D45" s="7"/>
      <c r="E45" s="7"/>
      <c r="F45" s="7"/>
      <c r="G45" s="7"/>
      <c r="H45" s="9"/>
      <c r="I45" s="8"/>
      <c r="J45" s="7"/>
      <c r="K45" s="3"/>
    </row>
    <row r="46" spans="1:11" x14ac:dyDescent="0.15">
      <c r="A46" s="62"/>
      <c r="B46" s="10"/>
      <c r="C46" s="11"/>
      <c r="D46" s="10"/>
      <c r="E46" s="10"/>
      <c r="F46" s="10"/>
      <c r="G46" s="4"/>
      <c r="H46" s="13"/>
      <c r="I46" s="10"/>
      <c r="J46" s="35"/>
      <c r="K46" s="3"/>
    </row>
    <row r="47" spans="1:11" x14ac:dyDescent="0.15">
      <c r="A47" s="63"/>
      <c r="B47" s="4"/>
      <c r="C47" s="12"/>
      <c r="D47" s="4"/>
      <c r="E47" s="4"/>
      <c r="F47" s="4"/>
      <c r="G47" s="4"/>
      <c r="H47" s="13"/>
      <c r="I47" s="4"/>
      <c r="J47" s="34"/>
      <c r="K47" s="3"/>
    </row>
    <row r="48" spans="1:11" ht="11.25" thickBot="1" x14ac:dyDescent="0.2">
      <c r="A48" s="64"/>
      <c r="B48" s="14"/>
      <c r="C48" s="15"/>
      <c r="D48" s="14"/>
      <c r="E48" s="14"/>
      <c r="F48" s="14"/>
      <c r="G48" s="14"/>
      <c r="H48" s="16"/>
      <c r="I48" s="14"/>
      <c r="J48" s="33"/>
      <c r="K48" s="3"/>
    </row>
    <row r="49" spans="1:11" x14ac:dyDescent="0.15">
      <c r="H49" s="17"/>
      <c r="I49" s="18"/>
      <c r="K49" s="3"/>
    </row>
    <row r="50" spans="1:11" x14ac:dyDescent="0.15">
      <c r="A50" s="19"/>
      <c r="H50" s="51"/>
      <c r="I50" s="52"/>
      <c r="J50" s="55"/>
      <c r="K50" s="3"/>
    </row>
    <row r="51" spans="1:11" x14ac:dyDescent="0.15">
      <c r="A51" s="19"/>
      <c r="B51" s="53"/>
      <c r="H51" s="20"/>
      <c r="K51" s="3"/>
    </row>
    <row r="52" spans="1:11" x14ac:dyDescent="0.15">
      <c r="A52" s="19"/>
      <c r="B52" s="53"/>
      <c r="H52" s="20"/>
      <c r="K52" s="3"/>
    </row>
    <row r="53" spans="1:11" x14ac:dyDescent="0.15">
      <c r="A53" s="19"/>
      <c r="F53" s="36"/>
      <c r="G53" s="23"/>
      <c r="H53" s="56"/>
      <c r="I53" s="21"/>
      <c r="K53" s="3"/>
    </row>
    <row r="54" spans="1:11" x14ac:dyDescent="0.15">
      <c r="A54" s="19"/>
      <c r="B54" s="38"/>
      <c r="C54" s="38"/>
      <c r="F54" s="37"/>
      <c r="H54" s="23"/>
      <c r="K54" s="3"/>
    </row>
    <row r="55" spans="1:11" x14ac:dyDescent="0.15">
      <c r="K55" s="3"/>
    </row>
    <row r="56" spans="1:11" x14ac:dyDescent="0.15">
      <c r="K56" s="3"/>
    </row>
    <row r="57" spans="1:11" x14ac:dyDescent="0.15">
      <c r="K57" s="3"/>
    </row>
    <row r="58" spans="1:11" x14ac:dyDescent="0.15">
      <c r="K58" s="3"/>
    </row>
    <row r="59" spans="1:11" x14ac:dyDescent="0.15">
      <c r="K59" s="3"/>
    </row>
    <row r="60" spans="1:11" x14ac:dyDescent="0.15">
      <c r="K60" s="3"/>
    </row>
    <row r="61" spans="1:11" x14ac:dyDescent="0.15">
      <c r="K61" s="3"/>
    </row>
    <row r="62" spans="1:11" x14ac:dyDescent="0.15">
      <c r="K62" s="3"/>
    </row>
    <row r="63" spans="1:11" x14ac:dyDescent="0.15">
      <c r="K63" s="3"/>
    </row>
    <row r="64" spans="1:11" x14ac:dyDescent="0.15">
      <c r="K64" s="3"/>
    </row>
    <row r="65" spans="11:11" x14ac:dyDescent="0.15">
      <c r="K65" s="3"/>
    </row>
    <row r="66" spans="11:11" x14ac:dyDescent="0.15">
      <c r="K66" s="3"/>
    </row>
    <row r="67" spans="11:11" x14ac:dyDescent="0.15">
      <c r="K67" s="3"/>
    </row>
    <row r="68" spans="11:11" x14ac:dyDescent="0.15">
      <c r="K68" s="3"/>
    </row>
    <row r="69" spans="11:11" x14ac:dyDescent="0.15">
      <c r="K69" s="3"/>
    </row>
    <row r="234" spans="1:10" x14ac:dyDescent="0.15">
      <c r="A234" s="3"/>
      <c r="B234" s="3"/>
      <c r="C234" s="3"/>
      <c r="D234" s="3"/>
      <c r="E234" s="3"/>
      <c r="F234" s="3"/>
      <c r="G234" s="3"/>
      <c r="H234" s="89"/>
      <c r="I234" s="88"/>
      <c r="J234" s="3"/>
    </row>
    <row r="235" spans="1:10" x14ac:dyDescent="0.15">
      <c r="A235" s="21"/>
      <c r="B235" s="3"/>
      <c r="C235" s="3"/>
      <c r="D235" s="3"/>
      <c r="E235" s="3"/>
      <c r="F235" s="3"/>
      <c r="G235" s="3"/>
      <c r="H235" s="13"/>
      <c r="I235" s="90"/>
      <c r="J235" s="34"/>
    </row>
    <row r="236" spans="1:10" x14ac:dyDescent="0.15">
      <c r="A236" s="21"/>
      <c r="B236" s="91"/>
      <c r="C236" s="3"/>
      <c r="D236" s="3"/>
      <c r="E236" s="3"/>
      <c r="F236" s="3"/>
      <c r="G236" s="3"/>
      <c r="H236" s="20"/>
      <c r="I236" s="3"/>
      <c r="J236" s="3"/>
    </row>
    <row r="237" spans="1:10" x14ac:dyDescent="0.15">
      <c r="A237" s="21"/>
      <c r="B237" s="91"/>
      <c r="C237" s="3"/>
      <c r="D237" s="3"/>
      <c r="E237" s="3"/>
      <c r="F237" s="3"/>
      <c r="G237" s="3"/>
      <c r="H237" s="20"/>
      <c r="I237" s="3"/>
      <c r="J237" s="3"/>
    </row>
    <row r="238" spans="1:10" x14ac:dyDescent="0.15">
      <c r="A238" s="21"/>
      <c r="B238" s="3"/>
      <c r="C238" s="3"/>
      <c r="D238" s="3"/>
      <c r="E238" s="3"/>
      <c r="F238" s="92"/>
      <c r="G238" s="4"/>
      <c r="H238" s="93"/>
      <c r="I238" s="21"/>
      <c r="J238" s="3"/>
    </row>
    <row r="239" spans="1:10" x14ac:dyDescent="0.15">
      <c r="A239" s="21"/>
      <c r="B239" s="94"/>
      <c r="C239" s="94"/>
      <c r="D239" s="3"/>
      <c r="E239" s="3"/>
      <c r="F239" s="95"/>
      <c r="G239" s="3"/>
      <c r="H239" s="4"/>
      <c r="I239" s="3"/>
      <c r="J239" s="3"/>
    </row>
    <row r="240" spans="1:10" x14ac:dyDescent="0.15">
      <c r="A240" s="3"/>
      <c r="B240" s="3"/>
      <c r="C240" s="3"/>
      <c r="D240" s="3"/>
      <c r="E240" s="3"/>
      <c r="F240" s="3"/>
      <c r="G240" s="3"/>
      <c r="H240" s="3"/>
      <c r="I240" s="3"/>
      <c r="J240" s="3"/>
    </row>
    <row r="241" spans="1:10" x14ac:dyDescent="0.15">
      <c r="A241" s="3"/>
      <c r="B241" s="104"/>
      <c r="C241" s="3"/>
      <c r="D241" s="3"/>
      <c r="E241" s="3"/>
      <c r="F241" s="3"/>
      <c r="G241" s="3"/>
      <c r="H241" s="3"/>
      <c r="I241" s="3"/>
      <c r="J241" s="3"/>
    </row>
    <row r="242" spans="1:10" x14ac:dyDescent="0.15">
      <c r="A242" s="85"/>
      <c r="B242" s="3"/>
      <c r="C242" s="3"/>
      <c r="D242" s="3"/>
      <c r="E242" s="3"/>
      <c r="F242" s="3"/>
      <c r="G242" s="3"/>
      <c r="H242" s="3"/>
      <c r="I242" s="3"/>
      <c r="J242" s="3"/>
    </row>
    <row r="243" spans="1:10" x14ac:dyDescent="0.15">
      <c r="A243" s="85"/>
      <c r="B243" s="3"/>
      <c r="C243" s="3"/>
      <c r="D243" s="3"/>
      <c r="E243" s="3"/>
      <c r="F243" s="3"/>
      <c r="G243" s="3"/>
      <c r="H243" s="3"/>
      <c r="I243" s="3"/>
      <c r="J243" s="3"/>
    </row>
    <row r="244" spans="1:10" x14ac:dyDescent="0.15">
      <c r="A244" s="3"/>
      <c r="B244" s="3"/>
      <c r="C244" s="3"/>
      <c r="D244" s="3"/>
      <c r="E244" s="3"/>
      <c r="F244" s="3"/>
      <c r="G244" s="3"/>
      <c r="H244" s="3"/>
      <c r="I244" s="3"/>
      <c r="J244" s="3"/>
    </row>
    <row r="245" spans="1:10" x14ac:dyDescent="0.15">
      <c r="A245" s="3"/>
      <c r="B245" s="86"/>
      <c r="C245" s="87"/>
      <c r="D245" s="86"/>
      <c r="E245" s="87"/>
      <c r="F245" s="87"/>
      <c r="G245" s="87"/>
      <c r="H245" s="86"/>
      <c r="I245" s="86"/>
      <c r="J245" s="86"/>
    </row>
    <row r="246" spans="1:10" x14ac:dyDescent="0.15">
      <c r="A246" s="3"/>
      <c r="B246" s="88"/>
      <c r="C246" s="88"/>
      <c r="D246" s="3"/>
      <c r="E246" s="3"/>
      <c r="F246" s="3"/>
      <c r="G246" s="3"/>
      <c r="H246" s="89"/>
      <c r="I246" s="88"/>
      <c r="J246" s="3"/>
    </row>
    <row r="247" spans="1:10" x14ac:dyDescent="0.15">
      <c r="A247" s="63"/>
      <c r="B247" s="4"/>
      <c r="C247" s="12"/>
      <c r="D247" s="4"/>
      <c r="E247" s="4"/>
      <c r="F247" s="4"/>
      <c r="G247" s="4"/>
      <c r="H247" s="13"/>
      <c r="I247" s="4"/>
      <c r="J247" s="34"/>
    </row>
    <row r="248" spans="1:10" x14ac:dyDescent="0.15">
      <c r="A248" s="63"/>
      <c r="B248" s="4"/>
      <c r="C248" s="12"/>
      <c r="D248" s="4"/>
      <c r="E248" s="4"/>
      <c r="F248" s="4"/>
      <c r="G248" s="4"/>
      <c r="H248" s="13"/>
      <c r="I248" s="4"/>
      <c r="J248" s="34"/>
    </row>
    <row r="249" spans="1:10" x14ac:dyDescent="0.15">
      <c r="A249" s="63"/>
      <c r="B249" s="4"/>
      <c r="C249" s="12"/>
      <c r="D249" s="4"/>
      <c r="E249" s="4"/>
      <c r="F249" s="4"/>
      <c r="G249" s="4"/>
      <c r="H249" s="13"/>
      <c r="I249" s="4"/>
      <c r="J249" s="34"/>
    </row>
    <row r="250" spans="1:10" x14ac:dyDescent="0.15">
      <c r="A250" s="63"/>
      <c r="B250" s="4"/>
      <c r="C250" s="12"/>
      <c r="D250" s="4"/>
      <c r="E250" s="4"/>
      <c r="F250" s="4"/>
      <c r="G250" s="4"/>
      <c r="H250" s="13"/>
      <c r="I250" s="4"/>
      <c r="J250" s="34"/>
    </row>
    <row r="251" spans="1:10" x14ac:dyDescent="0.15">
      <c r="A251" s="3"/>
      <c r="B251" s="3"/>
      <c r="C251" s="3"/>
      <c r="D251" s="3"/>
      <c r="E251" s="3"/>
      <c r="F251" s="3"/>
      <c r="G251" s="3"/>
      <c r="H251" s="89"/>
      <c r="I251" s="88"/>
      <c r="J251" s="3"/>
    </row>
    <row r="252" spans="1:10" x14ac:dyDescent="0.15">
      <c r="A252" s="21"/>
      <c r="B252" s="3"/>
      <c r="C252" s="3"/>
      <c r="D252" s="3"/>
      <c r="E252" s="3"/>
      <c r="F252" s="3"/>
      <c r="G252" s="3"/>
      <c r="H252" s="13"/>
      <c r="I252" s="90"/>
      <c r="J252" s="34"/>
    </row>
    <row r="253" spans="1:10" x14ac:dyDescent="0.15">
      <c r="A253" s="21"/>
      <c r="B253" s="91"/>
      <c r="C253" s="3"/>
      <c r="D253" s="3"/>
      <c r="E253" s="3"/>
      <c r="F253" s="3"/>
      <c r="G253" s="3"/>
      <c r="H253" s="20"/>
      <c r="I253" s="3"/>
      <c r="J253" s="3"/>
    </row>
    <row r="254" spans="1:10" x14ac:dyDescent="0.15">
      <c r="A254" s="21"/>
      <c r="B254" s="91"/>
      <c r="C254" s="3"/>
      <c r="D254" s="3"/>
      <c r="E254" s="3"/>
      <c r="F254" s="3"/>
      <c r="G254" s="3"/>
      <c r="H254" s="20"/>
      <c r="I254" s="3"/>
      <c r="J254" s="3"/>
    </row>
    <row r="255" spans="1:10" x14ac:dyDescent="0.15">
      <c r="A255" s="21"/>
      <c r="B255" s="3"/>
      <c r="C255" s="3"/>
      <c r="D255" s="3"/>
      <c r="E255" s="3"/>
      <c r="F255" s="92"/>
      <c r="G255" s="4"/>
      <c r="H255" s="93"/>
      <c r="I255" s="21"/>
      <c r="J255" s="3"/>
    </row>
    <row r="256" spans="1:10" x14ac:dyDescent="0.15">
      <c r="A256" s="21"/>
      <c r="B256" s="94"/>
      <c r="C256" s="94"/>
      <c r="D256" s="3"/>
      <c r="E256" s="3"/>
      <c r="F256" s="95"/>
      <c r="G256" s="3"/>
      <c r="H256" s="4"/>
      <c r="I256" s="3"/>
      <c r="J256" s="3"/>
    </row>
    <row r="257" spans="1:10" x14ac:dyDescent="0.15">
      <c r="A257" s="3"/>
      <c r="B257" s="3"/>
      <c r="C257" s="3"/>
      <c r="D257" s="3"/>
      <c r="E257" s="3"/>
      <c r="F257" s="3"/>
      <c r="G257" s="3"/>
      <c r="H257" s="3"/>
      <c r="I257" s="3"/>
      <c r="J257" s="3"/>
    </row>
    <row r="258" spans="1:10" x14ac:dyDescent="0.15">
      <c r="A258" s="3"/>
      <c r="B258" s="104"/>
      <c r="C258" s="3"/>
      <c r="D258" s="3"/>
      <c r="E258" s="3"/>
      <c r="F258" s="3"/>
      <c r="G258" s="3"/>
      <c r="H258" s="3"/>
      <c r="I258" s="3"/>
      <c r="J258" s="3"/>
    </row>
    <row r="259" spans="1:10" x14ac:dyDescent="0.15">
      <c r="A259" s="85"/>
      <c r="B259" s="3"/>
      <c r="C259" s="3"/>
      <c r="D259" s="3"/>
      <c r="E259" s="3"/>
      <c r="F259" s="3"/>
      <c r="G259" s="3"/>
      <c r="H259" s="3"/>
      <c r="I259" s="3"/>
      <c r="J259" s="3"/>
    </row>
    <row r="260" spans="1:10" x14ac:dyDescent="0.15">
      <c r="A260" s="85"/>
      <c r="B260" s="3"/>
      <c r="C260" s="3"/>
      <c r="D260" s="3"/>
      <c r="E260" s="3"/>
      <c r="F260" s="3"/>
      <c r="G260" s="3"/>
      <c r="H260" s="3"/>
      <c r="I260" s="3"/>
      <c r="J260" s="3"/>
    </row>
    <row r="261" spans="1:10" x14ac:dyDescent="0.15">
      <c r="A261" s="3"/>
      <c r="B261" s="3"/>
      <c r="C261" s="3"/>
      <c r="D261" s="3"/>
      <c r="E261" s="3"/>
      <c r="F261" s="3"/>
      <c r="G261" s="3"/>
      <c r="H261" s="3"/>
      <c r="I261" s="3"/>
      <c r="J261" s="3"/>
    </row>
    <row r="262" spans="1:10" x14ac:dyDescent="0.15">
      <c r="A262" s="3"/>
      <c r="B262" s="86"/>
      <c r="C262" s="87"/>
      <c r="D262" s="86"/>
      <c r="E262" s="87"/>
      <c r="F262" s="87"/>
      <c r="G262" s="87"/>
      <c r="H262" s="86"/>
      <c r="I262" s="86"/>
      <c r="J262" s="86"/>
    </row>
    <row r="263" spans="1:10" x14ac:dyDescent="0.15">
      <c r="A263" s="3"/>
      <c r="B263" s="88"/>
      <c r="C263" s="88"/>
      <c r="D263" s="3"/>
      <c r="E263" s="3"/>
      <c r="F263" s="3"/>
      <c r="G263" s="3"/>
      <c r="H263" s="89"/>
      <c r="I263" s="88"/>
      <c r="J263" s="3"/>
    </row>
    <row r="264" spans="1:10" x14ac:dyDescent="0.15">
      <c r="A264" s="63"/>
      <c r="B264" s="4"/>
      <c r="C264" s="12"/>
      <c r="D264" s="4"/>
      <c r="E264" s="4"/>
      <c r="F264" s="4"/>
      <c r="G264" s="4"/>
      <c r="H264" s="13"/>
      <c r="I264" s="4"/>
      <c r="J264" s="34"/>
    </row>
    <row r="265" spans="1:10" x14ac:dyDescent="0.15">
      <c r="A265" s="63"/>
      <c r="B265" s="4"/>
      <c r="C265" s="12"/>
      <c r="D265" s="4"/>
      <c r="E265" s="4"/>
      <c r="F265" s="4"/>
      <c r="G265" s="4"/>
      <c r="H265" s="13"/>
      <c r="I265" s="4"/>
      <c r="J265" s="34"/>
    </row>
    <row r="266" spans="1:10" x14ac:dyDescent="0.15">
      <c r="A266" s="63"/>
      <c r="B266" s="4"/>
      <c r="C266" s="12"/>
      <c r="D266" s="4"/>
      <c r="E266" s="4"/>
      <c r="F266" s="4"/>
      <c r="G266" s="4"/>
      <c r="H266" s="13"/>
      <c r="I266" s="4"/>
      <c r="J266" s="34"/>
    </row>
    <row r="267" spans="1:10" x14ac:dyDescent="0.15">
      <c r="A267" s="3"/>
      <c r="B267" s="3"/>
      <c r="C267" s="3"/>
      <c r="D267" s="3"/>
      <c r="E267" s="3"/>
      <c r="F267" s="3"/>
      <c r="G267" s="3"/>
      <c r="H267" s="89"/>
      <c r="I267" s="88"/>
      <c r="J267" s="3"/>
    </row>
    <row r="268" spans="1:10" x14ac:dyDescent="0.15">
      <c r="A268" s="21"/>
      <c r="B268" s="3"/>
      <c r="C268" s="3"/>
      <c r="D268" s="3"/>
      <c r="E268" s="3"/>
      <c r="F268" s="3"/>
      <c r="G268" s="3"/>
      <c r="H268" s="13"/>
      <c r="I268" s="90"/>
      <c r="J268" s="34"/>
    </row>
    <row r="269" spans="1:10" x14ac:dyDescent="0.15">
      <c r="A269" s="21"/>
      <c r="B269" s="91"/>
      <c r="C269" s="3"/>
      <c r="D269" s="3"/>
      <c r="E269" s="3"/>
      <c r="F269" s="3"/>
      <c r="G269" s="3"/>
      <c r="H269" s="20"/>
      <c r="I269" s="3"/>
      <c r="J269" s="3"/>
    </row>
    <row r="270" spans="1:10" x14ac:dyDescent="0.15">
      <c r="A270" s="21"/>
      <c r="B270" s="91"/>
      <c r="C270" s="3"/>
      <c r="D270" s="3"/>
      <c r="E270" s="3"/>
      <c r="F270" s="3"/>
      <c r="G270" s="3"/>
      <c r="H270" s="20"/>
      <c r="I270" s="3"/>
      <c r="J270" s="3"/>
    </row>
    <row r="271" spans="1:10" x14ac:dyDescent="0.15">
      <c r="A271" s="21"/>
      <c r="B271" s="3"/>
      <c r="C271" s="3"/>
      <c r="D271" s="3"/>
      <c r="E271" s="3"/>
      <c r="F271" s="92"/>
      <c r="G271" s="4"/>
      <c r="H271" s="93"/>
      <c r="I271" s="21"/>
      <c r="J271" s="3"/>
    </row>
    <row r="272" spans="1:10" x14ac:dyDescent="0.15">
      <c r="A272" s="21"/>
      <c r="B272" s="94"/>
      <c r="C272" s="94"/>
      <c r="D272" s="3"/>
      <c r="E272" s="3"/>
      <c r="F272" s="95"/>
      <c r="G272" s="3"/>
      <c r="H272" s="4"/>
      <c r="I272" s="3"/>
      <c r="J272" s="3"/>
    </row>
    <row r="274" spans="1:11" x14ac:dyDescent="0.15">
      <c r="B274" s="54"/>
    </row>
    <row r="275" spans="1:11" x14ac:dyDescent="0.15">
      <c r="A275" s="22"/>
    </row>
    <row r="277" spans="1:11" x14ac:dyDescent="0.15">
      <c r="A277" s="3"/>
      <c r="B277" s="86"/>
      <c r="C277" s="87"/>
      <c r="D277" s="86"/>
      <c r="E277" s="87"/>
      <c r="F277" s="87"/>
      <c r="G277" s="87"/>
      <c r="H277" s="86"/>
      <c r="I277" s="86"/>
      <c r="J277" s="86"/>
      <c r="K277" s="3"/>
    </row>
    <row r="278" spans="1:11" x14ac:dyDescent="0.15">
      <c r="A278" s="3"/>
      <c r="B278" s="88"/>
      <c r="C278" s="88"/>
      <c r="D278" s="3"/>
      <c r="E278" s="3"/>
      <c r="F278" s="3"/>
      <c r="G278" s="3"/>
      <c r="H278" s="89"/>
      <c r="I278" s="88"/>
      <c r="J278" s="3"/>
      <c r="K278" s="3"/>
    </row>
    <row r="279" spans="1:11" x14ac:dyDescent="0.15">
      <c r="A279" s="63"/>
      <c r="B279" s="4"/>
      <c r="C279" s="12"/>
      <c r="D279" s="4"/>
      <c r="E279" s="4"/>
      <c r="F279" s="4"/>
      <c r="G279" s="4"/>
      <c r="H279" s="13"/>
      <c r="I279" s="4"/>
      <c r="J279" s="34"/>
      <c r="K279" s="3"/>
    </row>
    <row r="280" spans="1:11" x14ac:dyDescent="0.15">
      <c r="A280" s="63"/>
      <c r="B280" s="4"/>
      <c r="C280" s="12"/>
      <c r="D280" s="4"/>
      <c r="E280" s="4"/>
      <c r="F280" s="4"/>
      <c r="G280" s="4"/>
      <c r="H280" s="13"/>
      <c r="I280" s="4"/>
      <c r="J280" s="34"/>
      <c r="K280" s="3"/>
    </row>
    <row r="281" spans="1:11" x14ac:dyDescent="0.15">
      <c r="A281" s="63"/>
      <c r="B281" s="4"/>
      <c r="C281" s="12"/>
      <c r="D281" s="4"/>
      <c r="E281" s="4"/>
      <c r="F281" s="4"/>
      <c r="G281" s="4"/>
      <c r="H281" s="13"/>
      <c r="I281" s="4"/>
      <c r="J281" s="34"/>
      <c r="K281" s="3"/>
    </row>
    <row r="282" spans="1:11" x14ac:dyDescent="0.15">
      <c r="A282" s="3"/>
      <c r="B282" s="3"/>
      <c r="C282" s="3"/>
      <c r="D282" s="3"/>
      <c r="E282" s="3"/>
      <c r="F282" s="3"/>
      <c r="G282" s="3"/>
      <c r="H282" s="89"/>
      <c r="I282" s="88"/>
      <c r="J282" s="3"/>
      <c r="K282" s="3"/>
    </row>
    <row r="283" spans="1:11" x14ac:dyDescent="0.15">
      <c r="A283" s="21"/>
      <c r="B283" s="3"/>
      <c r="C283" s="3"/>
      <c r="D283" s="3"/>
      <c r="E283" s="3"/>
      <c r="F283" s="3"/>
      <c r="G283" s="3"/>
      <c r="H283" s="13"/>
      <c r="I283" s="90"/>
      <c r="J283" s="34"/>
      <c r="K283" s="3"/>
    </row>
    <row r="284" spans="1:11" x14ac:dyDescent="0.15">
      <c r="A284" s="21"/>
      <c r="B284" s="91"/>
      <c r="C284" s="3"/>
      <c r="D284" s="3"/>
      <c r="E284" s="3"/>
      <c r="F284" s="3"/>
      <c r="G284" s="3"/>
      <c r="H284" s="20"/>
      <c r="I284" s="3"/>
      <c r="J284" s="3"/>
      <c r="K284" s="3"/>
    </row>
    <row r="285" spans="1:11" x14ac:dyDescent="0.15">
      <c r="A285" s="21"/>
      <c r="B285" s="91"/>
      <c r="C285" s="3"/>
      <c r="D285" s="3"/>
      <c r="E285" s="3"/>
      <c r="F285" s="3"/>
      <c r="G285" s="3"/>
      <c r="H285" s="20"/>
      <c r="I285" s="3"/>
      <c r="J285" s="3"/>
      <c r="K285" s="3"/>
    </row>
    <row r="286" spans="1:11" x14ac:dyDescent="0.15">
      <c r="A286" s="21"/>
      <c r="B286" s="3"/>
      <c r="C286" s="3"/>
      <c r="D286" s="3"/>
      <c r="E286" s="3"/>
      <c r="F286" s="92"/>
      <c r="G286" s="4"/>
      <c r="H286" s="93"/>
      <c r="I286" s="21"/>
      <c r="J286" s="3"/>
      <c r="K286" s="3"/>
    </row>
    <row r="287" spans="1:11" x14ac:dyDescent="0.15">
      <c r="A287" s="21"/>
      <c r="B287" s="94"/>
      <c r="C287" s="94"/>
      <c r="D287" s="3"/>
      <c r="E287" s="3"/>
      <c r="F287" s="95"/>
      <c r="G287" s="3"/>
      <c r="H287" s="4"/>
      <c r="I287" s="3"/>
      <c r="J287" s="3"/>
      <c r="K287" s="3"/>
    </row>
    <row r="288" spans="1:11" x14ac:dyDescent="0.1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</row>
    <row r="289" spans="1:11" x14ac:dyDescent="0.1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</row>
    <row r="290" spans="1:11" x14ac:dyDescent="0.15">
      <c r="A290" s="85"/>
      <c r="B290" s="3"/>
      <c r="C290" s="3"/>
      <c r="D290" s="3"/>
      <c r="E290" s="3"/>
      <c r="F290" s="3"/>
      <c r="G290" s="3"/>
      <c r="H290" s="3"/>
      <c r="I290" s="3"/>
      <c r="J290" s="3"/>
      <c r="K290" s="3"/>
    </row>
    <row r="291" spans="1:11" x14ac:dyDescent="0.1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</row>
    <row r="292" spans="1:11" x14ac:dyDescent="0.15">
      <c r="A292" s="3"/>
      <c r="B292" s="86"/>
      <c r="C292" s="87"/>
      <c r="D292" s="86"/>
      <c r="E292" s="87"/>
      <c r="F292" s="87"/>
      <c r="G292" s="87"/>
      <c r="H292" s="86"/>
      <c r="I292" s="86"/>
      <c r="J292" s="86"/>
      <c r="K292" s="3"/>
    </row>
    <row r="293" spans="1:11" x14ac:dyDescent="0.15">
      <c r="A293" s="3"/>
      <c r="B293" s="88"/>
      <c r="C293" s="88"/>
      <c r="D293" s="3"/>
      <c r="E293" s="3"/>
      <c r="F293" s="3"/>
      <c r="G293" s="3"/>
      <c r="H293" s="89"/>
      <c r="I293" s="88"/>
      <c r="J293" s="3"/>
      <c r="K293" s="3"/>
    </row>
    <row r="294" spans="1:11" x14ac:dyDescent="0.15">
      <c r="A294" s="63"/>
      <c r="B294" s="4"/>
      <c r="C294" s="12"/>
      <c r="D294" s="4"/>
      <c r="E294" s="4"/>
      <c r="F294" s="4"/>
      <c r="G294" s="4"/>
      <c r="H294" s="13"/>
      <c r="I294" s="4"/>
      <c r="J294" s="34"/>
      <c r="K294" s="3"/>
    </row>
    <row r="295" spans="1:11" x14ac:dyDescent="0.15">
      <c r="A295" s="63"/>
      <c r="B295" s="4"/>
      <c r="C295" s="12"/>
      <c r="D295" s="4"/>
      <c r="E295" s="4"/>
      <c r="F295" s="4"/>
      <c r="G295" s="4"/>
      <c r="H295" s="13"/>
      <c r="I295" s="4"/>
      <c r="J295" s="34"/>
      <c r="K295" s="3"/>
    </row>
    <row r="296" spans="1:11" x14ac:dyDescent="0.15">
      <c r="A296" s="63"/>
      <c r="B296" s="4"/>
      <c r="C296" s="12"/>
      <c r="D296" s="4"/>
      <c r="E296" s="4"/>
      <c r="F296" s="4"/>
      <c r="G296" s="4"/>
      <c r="H296" s="13"/>
      <c r="I296" s="4"/>
      <c r="J296" s="34"/>
      <c r="K296" s="3"/>
    </row>
    <row r="297" spans="1:11" x14ac:dyDescent="0.15">
      <c r="A297" s="3"/>
      <c r="B297" s="3"/>
      <c r="C297" s="3"/>
      <c r="D297" s="3"/>
      <c r="E297" s="3"/>
      <c r="F297" s="3"/>
      <c r="G297" s="3"/>
      <c r="H297" s="89"/>
      <c r="I297" s="88"/>
      <c r="J297" s="3"/>
      <c r="K297" s="3"/>
    </row>
    <row r="298" spans="1:11" x14ac:dyDescent="0.15">
      <c r="A298" s="21"/>
      <c r="B298" s="3"/>
      <c r="C298" s="3"/>
      <c r="D298" s="3"/>
      <c r="E298" s="3"/>
      <c r="F298" s="3"/>
      <c r="G298" s="3"/>
      <c r="H298" s="13"/>
      <c r="I298" s="90"/>
      <c r="J298" s="34"/>
      <c r="K298" s="3"/>
    </row>
    <row r="299" spans="1:11" x14ac:dyDescent="0.15">
      <c r="A299" s="21"/>
      <c r="B299" s="91"/>
      <c r="C299" s="3"/>
      <c r="D299" s="3"/>
      <c r="E299" s="3"/>
      <c r="F299" s="3"/>
      <c r="G299" s="3"/>
      <c r="H299" s="20"/>
      <c r="I299" s="3"/>
      <c r="J299" s="3"/>
      <c r="K299" s="3"/>
    </row>
    <row r="300" spans="1:11" x14ac:dyDescent="0.15">
      <c r="A300" s="21"/>
      <c r="B300" s="91"/>
      <c r="C300" s="3"/>
      <c r="D300" s="3"/>
      <c r="E300" s="3"/>
      <c r="F300" s="3"/>
      <c r="G300" s="3"/>
      <c r="H300" s="20"/>
      <c r="I300" s="3"/>
      <c r="J300" s="3"/>
      <c r="K300" s="3"/>
    </row>
    <row r="301" spans="1:11" x14ac:dyDescent="0.15">
      <c r="A301" s="21"/>
      <c r="B301" s="3"/>
      <c r="C301" s="3"/>
      <c r="D301" s="3"/>
      <c r="E301" s="3"/>
      <c r="F301" s="92"/>
      <c r="G301" s="4"/>
      <c r="H301" s="93"/>
      <c r="I301" s="21"/>
      <c r="J301" s="3"/>
      <c r="K301" s="3"/>
    </row>
    <row r="302" spans="1:11" x14ac:dyDescent="0.15">
      <c r="A302" s="21"/>
      <c r="B302" s="94"/>
      <c r="C302" s="94"/>
      <c r="D302" s="3"/>
      <c r="E302" s="3"/>
      <c r="F302" s="95"/>
      <c r="G302" s="3"/>
      <c r="H302" s="4"/>
      <c r="I302" s="3"/>
      <c r="J302" s="3"/>
      <c r="K302" s="3"/>
    </row>
  </sheetData>
  <sheetProtection formatCells="0" formatColumns="0" formatRows="0" insertHyperlinks="0" sort="0" autoFilter="0" pivotTables="0"/>
  <mergeCells count="1">
    <mergeCell ref="A1:E1"/>
  </mergeCells>
  <phoneticPr fontId="0" type="noConversion"/>
  <pageMargins left="0.7" right="0.7" top="1.0208333333333333" bottom="0.75" header="0.3" footer="0.3"/>
  <pageSetup paperSize="9" scale="79" orientation="portrait" r:id="rId1"/>
  <headerFooter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&amp;P+3 из 5</oddFooter>
  </headerFooter>
  <colBreaks count="1" manualBreakCount="1">
    <brk id="1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54"/>
  <sheetViews>
    <sheetView view="pageBreakPreview" topLeftCell="A4" zoomScale="145" zoomScaleNormal="100" zoomScaleSheetLayoutView="145" workbookViewId="0">
      <selection activeCell="A12" sqref="A12"/>
    </sheetView>
  </sheetViews>
  <sheetFormatPr defaultRowHeight="10.5" x14ac:dyDescent="0.15"/>
  <cols>
    <col min="1" max="1" width="26.875" style="1" customWidth="1"/>
    <col min="2" max="2" width="11.625" style="1" bestFit="1" customWidth="1"/>
    <col min="3" max="3" width="7.375" style="1" bestFit="1" customWidth="1"/>
    <col min="4" max="4" width="7.75" style="1" bestFit="1" customWidth="1"/>
    <col min="5" max="5" width="3.125" style="1" bestFit="1" customWidth="1"/>
    <col min="6" max="6" width="11.375" style="1" bestFit="1" customWidth="1"/>
    <col min="7" max="7" width="6.75" style="1" bestFit="1" customWidth="1"/>
    <col min="8" max="8" width="12.625" style="1" bestFit="1" customWidth="1"/>
    <col min="9" max="9" width="7.375" style="1" bestFit="1" customWidth="1"/>
    <col min="10" max="10" width="8.125" style="1" bestFit="1" customWidth="1"/>
    <col min="11" max="16384" width="9" style="1"/>
  </cols>
  <sheetData>
    <row r="1" spans="1:21" x14ac:dyDescent="0.15">
      <c r="A1" s="125"/>
      <c r="B1" s="125"/>
      <c r="C1" s="125"/>
      <c r="D1" s="125"/>
      <c r="E1" s="125"/>
      <c r="F1" s="41"/>
      <c r="G1" s="40"/>
    </row>
    <row r="3" spans="1:21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3"/>
      <c r="L3" s="3"/>
      <c r="M3" s="3"/>
    </row>
    <row r="4" spans="1:21" x14ac:dyDescent="0.15">
      <c r="K4" s="3"/>
      <c r="L4" s="3"/>
      <c r="M4" s="3"/>
    </row>
    <row r="7" spans="1:21" x14ac:dyDescent="0.15">
      <c r="F7" s="4"/>
      <c r="G7" s="4"/>
    </row>
    <row r="11" spans="1:21" x14ac:dyDescent="0.15">
      <c r="A11" s="22" t="s">
        <v>193</v>
      </c>
      <c r="L11" s="22"/>
    </row>
    <row r="12" spans="1:21" x14ac:dyDescent="0.15">
      <c r="A12" s="22" t="str">
        <f>CONCATENATE("Калибруемая отметка:"," ",Измерения!$B$2," ",Измерения!$B$4)</f>
        <v>Калибруемая отметка: 100 A</v>
      </c>
      <c r="L12" s="22"/>
    </row>
    <row r="14" spans="1:21" ht="21" x14ac:dyDescent="0.15">
      <c r="B14" s="5" t="s">
        <v>4</v>
      </c>
      <c r="C14" s="6" t="s">
        <v>5</v>
      </c>
      <c r="D14" s="5" t="s">
        <v>6</v>
      </c>
      <c r="E14" s="6" t="s">
        <v>7</v>
      </c>
      <c r="F14" s="6" t="s">
        <v>8</v>
      </c>
      <c r="G14" s="6" t="s">
        <v>9</v>
      </c>
      <c r="H14" s="5" t="s">
        <v>10</v>
      </c>
      <c r="I14" s="5" t="s">
        <v>11</v>
      </c>
      <c r="J14" s="5" t="s">
        <v>74</v>
      </c>
      <c r="M14" s="5"/>
      <c r="N14" s="6"/>
      <c r="O14" s="5"/>
      <c r="P14" s="6"/>
      <c r="Q14" s="6"/>
      <c r="R14" s="6"/>
      <c r="S14" s="5"/>
      <c r="T14" s="5"/>
      <c r="U14" s="5"/>
    </row>
    <row r="15" spans="1:21" ht="14.25" thickBot="1" x14ac:dyDescent="0.3">
      <c r="A15" s="7"/>
      <c r="B15" s="8" t="s">
        <v>45</v>
      </c>
      <c r="C15" s="8" t="s">
        <v>46</v>
      </c>
      <c r="D15" s="7"/>
      <c r="E15" s="7"/>
      <c r="F15" s="7"/>
      <c r="G15" s="7"/>
      <c r="H15" s="9" t="s">
        <v>47</v>
      </c>
      <c r="I15" s="8" t="s">
        <v>0</v>
      </c>
      <c r="J15" s="7"/>
      <c r="K15" s="3"/>
      <c r="L15" s="7"/>
      <c r="M15" s="8"/>
      <c r="N15" s="8"/>
      <c r="O15" s="7"/>
      <c r="P15" s="7"/>
      <c r="Q15" s="7"/>
      <c r="R15" s="7"/>
      <c r="S15" s="9"/>
      <c r="T15" s="8"/>
      <c r="U15" s="7"/>
    </row>
    <row r="16" spans="1:21" x14ac:dyDescent="0.15">
      <c r="A16" s="62" t="s">
        <v>194</v>
      </c>
      <c r="B16" s="10">
        <v>1</v>
      </c>
      <c r="C16" s="11">
        <f>Измерения!$B$39</f>
        <v>0.74692929718949963</v>
      </c>
      <c r="D16" s="10" t="s">
        <v>79</v>
      </c>
      <c r="E16" s="10" t="s">
        <v>1</v>
      </c>
      <c r="F16" s="10" t="s">
        <v>100</v>
      </c>
      <c r="G16" s="4">
        <f>IF(F16="Нормальное",1,IF(F16="Нормальное 95%",2,IF(F16="Прямоугольное","√3",IF(F16="Нормальное 99%",2.576,""))))</f>
        <v>1</v>
      </c>
      <c r="H16" s="13">
        <f>ABS((IF(G16="√3",C16*B16/SQRT(3),C16*B16/G16)))</f>
        <v>0.74692929718949963</v>
      </c>
      <c r="I16" s="10">
        <f>Измерения!$B$38</f>
        <v>4</v>
      </c>
      <c r="J16" s="35">
        <f>H16/SUM(H16:H18)</f>
        <v>0.96243173061710008</v>
      </c>
      <c r="K16" s="3"/>
      <c r="L16" s="62"/>
      <c r="M16" s="10"/>
      <c r="N16" s="11"/>
      <c r="O16" s="10"/>
      <c r="P16" s="10"/>
      <c r="Q16" s="10"/>
      <c r="R16" s="4"/>
      <c r="S16" s="13"/>
      <c r="T16" s="10"/>
      <c r="U16" s="35"/>
    </row>
    <row r="17" spans="1:21" x14ac:dyDescent="0.15">
      <c r="A17" s="63" t="s">
        <v>195</v>
      </c>
      <c r="B17" s="4">
        <v>1</v>
      </c>
      <c r="C17" s="12">
        <f>0.05*1/100</f>
        <v>5.0000000000000001E-4</v>
      </c>
      <c r="D17" s="4" t="s">
        <v>79</v>
      </c>
      <c r="E17" s="4" t="s">
        <v>2</v>
      </c>
      <c r="F17" s="4" t="s">
        <v>12</v>
      </c>
      <c r="G17" s="4" t="str">
        <f>IF(F17="Нормальное",1,IF(F17="Нормальное 95%",2,IF(F17="Прямоугольное","√3",IF(F17="Нормальное 99%",2.576,""))))</f>
        <v>√3</v>
      </c>
      <c r="H17" s="13">
        <f>ABS((IF(G17="√3",C17*B17/SQRT(3),C17*B17/G17)))</f>
        <v>2.886751345948129E-4</v>
      </c>
      <c r="I17" s="4">
        <v>50</v>
      </c>
      <c r="J17" s="34">
        <f>H17/SUM(H16:H18)</f>
        <v>3.7196306319702872E-4</v>
      </c>
      <c r="K17" s="3"/>
      <c r="L17" s="63"/>
      <c r="M17" s="4"/>
      <c r="N17" s="12"/>
      <c r="O17" s="4"/>
      <c r="P17" s="4"/>
      <c r="Q17" s="4"/>
      <c r="R17" s="4"/>
      <c r="S17" s="13"/>
      <c r="T17" s="4"/>
      <c r="U17" s="34"/>
    </row>
    <row r="18" spans="1:21" ht="21.75" thickBot="1" x14ac:dyDescent="0.2">
      <c r="A18" s="64" t="s">
        <v>80</v>
      </c>
      <c r="B18" s="14">
        <v>1</v>
      </c>
      <c r="C18" s="15">
        <f>0.1/2</f>
        <v>0.05</v>
      </c>
      <c r="D18" s="14" t="s">
        <v>79</v>
      </c>
      <c r="E18" s="14" t="s">
        <v>2</v>
      </c>
      <c r="F18" s="14" t="s">
        <v>12</v>
      </c>
      <c r="G18" s="14" t="str">
        <f>IF(F18="Нормальное 1",1,IF(F18="Нормальное 95%",2,IF(F18="Прямоугольное","√3",IF(F18="Нормальное 99%",2.576,""))))</f>
        <v>√3</v>
      </c>
      <c r="H18" s="16">
        <f>ABS((IF(G18="√3",C18*B18/SQRT(3),C18*B18/G18)))</f>
        <v>2.8867513459481291E-2</v>
      </c>
      <c r="I18" s="14">
        <v>50</v>
      </c>
      <c r="J18" s="33">
        <f>H18/SUM(H16:H18)</f>
        <v>3.7196306319702874E-2</v>
      </c>
      <c r="K18" s="3"/>
      <c r="L18" s="64"/>
      <c r="M18" s="14"/>
      <c r="N18" s="15"/>
      <c r="O18" s="14"/>
      <c r="P18" s="14"/>
      <c r="Q18" s="14"/>
      <c r="R18" s="14"/>
      <c r="S18" s="16"/>
      <c r="T18" s="14"/>
      <c r="U18" s="33"/>
    </row>
    <row r="19" spans="1:21" ht="13.5" x14ac:dyDescent="0.25">
      <c r="H19" s="17" t="s">
        <v>48</v>
      </c>
      <c r="I19" s="18" t="s">
        <v>49</v>
      </c>
      <c r="S19" s="17"/>
      <c r="T19" s="18"/>
    </row>
    <row r="20" spans="1:21" x14ac:dyDescent="0.15">
      <c r="A20" s="19" t="s">
        <v>21</v>
      </c>
      <c r="H20" s="51">
        <f>SQRT(SUMSQ(H16:H18))</f>
        <v>0.7474869842791021</v>
      </c>
      <c r="I20" s="52">
        <f>(H20^4)/((((H16^4))/I16)+(((H17^4))/I17)+(((H18^4))/I18))</f>
        <v>4.0119589055724534</v>
      </c>
      <c r="J20" s="55">
        <f>SUM(J16:J18)</f>
        <v>0.99999999999999989</v>
      </c>
      <c r="L20" s="19"/>
      <c r="S20" s="51"/>
      <c r="T20" s="52"/>
      <c r="U20" s="55"/>
    </row>
    <row r="21" spans="1:21" x14ac:dyDescent="0.15">
      <c r="A21" s="19" t="s">
        <v>58</v>
      </c>
      <c r="B21" s="53"/>
      <c r="H21" s="20">
        <f>ABS(NORMSINV((1-95.45%)/2))</f>
        <v>2.000002443899604</v>
      </c>
      <c r="L21" s="19"/>
      <c r="M21" s="53"/>
      <c r="S21" s="20"/>
    </row>
    <row r="22" spans="1:21" x14ac:dyDescent="0.15">
      <c r="A22" s="19" t="s">
        <v>76</v>
      </c>
      <c r="B22" s="53"/>
      <c r="H22" s="20">
        <f>TINV(1-95.45%,I20)</f>
        <v>2.8693151696963848</v>
      </c>
      <c r="L22" s="19"/>
      <c r="M22" s="53"/>
      <c r="S22" s="20"/>
    </row>
    <row r="23" spans="1:21" ht="13.5" x14ac:dyDescent="0.15">
      <c r="A23" s="19" t="s">
        <v>75</v>
      </c>
      <c r="F23" s="36"/>
      <c r="G23" s="23"/>
      <c r="H23" s="56">
        <f>H21*H20</f>
        <v>1.4949757953413492</v>
      </c>
      <c r="I23" s="21" t="s">
        <v>79</v>
      </c>
      <c r="L23" s="19"/>
      <c r="Q23" s="36"/>
      <c r="R23" s="23"/>
      <c r="S23" s="56"/>
      <c r="T23" s="21"/>
    </row>
    <row r="24" spans="1:21" x14ac:dyDescent="0.15">
      <c r="A24" s="19" t="s">
        <v>51</v>
      </c>
      <c r="B24" s="38"/>
      <c r="C24" s="38"/>
      <c r="F24" s="37"/>
      <c r="H24" s="23" t="str">
        <f>"("&amp;FIXED(Измерения!$B$36,1)&amp;" ± "&amp;FIXED(H23,1)&amp;")"&amp;" "&amp;I23</f>
        <v>(2,4 ± 1,5) МОм</v>
      </c>
      <c r="L24" s="19"/>
      <c r="M24" s="38"/>
      <c r="N24" s="38"/>
      <c r="Q24" s="37"/>
      <c r="S24" s="23"/>
    </row>
    <row r="26" spans="1:21" x14ac:dyDescent="0.15">
      <c r="B26" s="54"/>
    </row>
    <row r="27" spans="1:21" x14ac:dyDescent="0.15">
      <c r="A27" s="22"/>
    </row>
    <row r="29" spans="1:21" ht="30.75" customHeight="1" x14ac:dyDescent="0.15">
      <c r="B29" s="5"/>
      <c r="C29" s="6"/>
      <c r="D29" s="5"/>
      <c r="E29" s="6"/>
      <c r="F29" s="6"/>
      <c r="G29" s="6"/>
      <c r="H29" s="5"/>
      <c r="I29" s="5"/>
      <c r="J29" s="5"/>
    </row>
    <row r="30" spans="1:21" ht="11.25" thickBot="1" x14ac:dyDescent="0.2">
      <c r="A30" s="7"/>
      <c r="B30" s="8"/>
      <c r="C30" s="8"/>
      <c r="D30" s="7"/>
      <c r="E30" s="7"/>
      <c r="F30" s="7"/>
      <c r="G30" s="7"/>
      <c r="H30" s="9"/>
      <c r="I30" s="8"/>
      <c r="J30" s="7"/>
    </row>
    <row r="31" spans="1:21" x14ac:dyDescent="0.15">
      <c r="A31" s="62"/>
      <c r="B31" s="10"/>
      <c r="C31" s="11"/>
      <c r="D31" s="10"/>
      <c r="E31" s="10"/>
      <c r="F31" s="10"/>
      <c r="G31" s="4"/>
      <c r="H31" s="13"/>
      <c r="I31" s="10"/>
      <c r="J31" s="35"/>
    </row>
    <row r="32" spans="1:21" ht="33" customHeight="1" x14ac:dyDescent="0.15">
      <c r="A32" s="63"/>
      <c r="B32" s="4"/>
      <c r="C32" s="12"/>
      <c r="D32" s="4"/>
      <c r="E32" s="4"/>
      <c r="F32" s="4"/>
      <c r="G32" s="4"/>
      <c r="H32" s="13"/>
      <c r="I32" s="4"/>
      <c r="J32" s="34"/>
    </row>
    <row r="33" spans="1:10" ht="11.25" thickBot="1" x14ac:dyDescent="0.2">
      <c r="A33" s="64"/>
      <c r="B33" s="14"/>
      <c r="C33" s="15"/>
      <c r="D33" s="14"/>
      <c r="E33" s="14"/>
      <c r="F33" s="14"/>
      <c r="G33" s="14"/>
      <c r="H33" s="16"/>
      <c r="I33" s="14"/>
      <c r="J33" s="33"/>
    </row>
    <row r="34" spans="1:10" x14ac:dyDescent="0.15">
      <c r="H34" s="17"/>
      <c r="I34" s="18"/>
    </row>
    <row r="35" spans="1:10" x14ac:dyDescent="0.15">
      <c r="A35" s="19"/>
      <c r="H35" s="51"/>
      <c r="I35" s="52"/>
      <c r="J35" s="55"/>
    </row>
    <row r="36" spans="1:10" x14ac:dyDescent="0.15">
      <c r="A36" s="19"/>
      <c r="B36" s="53"/>
      <c r="H36" s="20"/>
    </row>
    <row r="37" spans="1:10" x14ac:dyDescent="0.15">
      <c r="A37" s="19"/>
      <c r="B37" s="53"/>
      <c r="H37" s="20"/>
    </row>
    <row r="38" spans="1:10" x14ac:dyDescent="0.15">
      <c r="A38" s="19"/>
      <c r="F38" s="36"/>
      <c r="G38" s="23"/>
      <c r="H38" s="56"/>
      <c r="I38" s="21"/>
    </row>
    <row r="39" spans="1:10" x14ac:dyDescent="0.15">
      <c r="A39" s="19"/>
      <c r="B39" s="38"/>
      <c r="C39" s="38"/>
      <c r="F39" s="37"/>
      <c r="H39" s="23"/>
    </row>
    <row r="42" spans="1:10" x14ac:dyDescent="0.15">
      <c r="A42" s="22"/>
    </row>
    <row r="44" spans="1:10" ht="30.75" customHeight="1" x14ac:dyDescent="0.15">
      <c r="B44" s="5"/>
      <c r="C44" s="6"/>
      <c r="D44" s="5"/>
      <c r="E44" s="6"/>
      <c r="F44" s="6"/>
      <c r="G44" s="6"/>
      <c r="H44" s="5"/>
      <c r="I44" s="5"/>
      <c r="J44" s="5"/>
    </row>
    <row r="45" spans="1:10" ht="11.25" thickBot="1" x14ac:dyDescent="0.2">
      <c r="A45" s="7"/>
      <c r="B45" s="8"/>
      <c r="C45" s="8"/>
      <c r="D45" s="7"/>
      <c r="E45" s="7"/>
      <c r="F45" s="7"/>
      <c r="G45" s="7"/>
      <c r="H45" s="9"/>
      <c r="I45" s="8"/>
      <c r="J45" s="7"/>
    </row>
    <row r="46" spans="1:10" x14ac:dyDescent="0.15">
      <c r="A46" s="62"/>
      <c r="B46" s="10"/>
      <c r="C46" s="11"/>
      <c r="D46" s="10"/>
      <c r="E46" s="10"/>
      <c r="F46" s="10"/>
      <c r="G46" s="4"/>
      <c r="H46" s="13"/>
      <c r="I46" s="10"/>
      <c r="J46" s="35"/>
    </row>
    <row r="47" spans="1:10" ht="31.5" customHeight="1" x14ac:dyDescent="0.15">
      <c r="A47" s="63"/>
      <c r="B47" s="4"/>
      <c r="C47" s="12"/>
      <c r="D47" s="4"/>
      <c r="E47" s="4"/>
      <c r="F47" s="4"/>
      <c r="G47" s="4"/>
      <c r="H47" s="13"/>
      <c r="I47" s="4"/>
      <c r="J47" s="34"/>
    </row>
    <row r="48" spans="1:10" ht="11.25" thickBot="1" x14ac:dyDescent="0.2">
      <c r="A48" s="64"/>
      <c r="B48" s="14"/>
      <c r="C48" s="15"/>
      <c r="D48" s="14"/>
      <c r="E48" s="14"/>
      <c r="F48" s="14"/>
      <c r="G48" s="14"/>
      <c r="H48" s="16"/>
      <c r="I48" s="14"/>
      <c r="J48" s="33"/>
    </row>
    <row r="49" spans="1:10" x14ac:dyDescent="0.15">
      <c r="H49" s="17"/>
      <c r="I49" s="18"/>
    </row>
    <row r="50" spans="1:10" x14ac:dyDescent="0.15">
      <c r="A50" s="19"/>
      <c r="H50" s="51"/>
      <c r="I50" s="52"/>
      <c r="J50" s="55"/>
    </row>
    <row r="51" spans="1:10" x14ac:dyDescent="0.15">
      <c r="A51" s="19"/>
      <c r="B51" s="53"/>
      <c r="H51" s="20"/>
    </row>
    <row r="52" spans="1:10" x14ac:dyDescent="0.15">
      <c r="A52" s="19"/>
      <c r="B52" s="53"/>
      <c r="H52" s="20"/>
    </row>
    <row r="53" spans="1:10" x14ac:dyDescent="0.15">
      <c r="A53" s="19"/>
      <c r="F53" s="36"/>
      <c r="G53" s="23"/>
      <c r="H53" s="56"/>
      <c r="I53" s="21"/>
    </row>
    <row r="54" spans="1:10" x14ac:dyDescent="0.15">
      <c r="A54" s="19"/>
      <c r="B54" s="38"/>
      <c r="C54" s="38"/>
      <c r="F54" s="37"/>
      <c r="H54" s="23"/>
    </row>
  </sheetData>
  <sheetProtection formatCells="0" formatColumns="0" formatRows="0" insertHyperlinks="0" sort="0" autoFilter="0" pivotTables="0"/>
  <mergeCells count="1">
    <mergeCell ref="A1:E1"/>
  </mergeCells>
  <phoneticPr fontId="0" type="noConversion"/>
  <pageMargins left="0.7" right="0.7" top="1.0208333333333333" bottom="0.75" header="0.3" footer="0.3"/>
  <pageSetup paperSize="9" scale="79" orientation="portrait" r:id="rId1"/>
  <headerFooter alignWithMargins="0"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&amp;P+2 из 3</oddFooter>
  </headerFooter>
  <colBreaks count="1" manualBreakCount="1">
    <brk id="1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55"/>
  <sheetViews>
    <sheetView view="pageBreakPreview" topLeftCell="A13" zoomScale="145" zoomScaleNormal="100" zoomScaleSheetLayoutView="145" workbookViewId="0">
      <selection activeCell="A17" sqref="A17:A18"/>
    </sheetView>
  </sheetViews>
  <sheetFormatPr defaultRowHeight="10.5" x14ac:dyDescent="0.15"/>
  <cols>
    <col min="1" max="1" width="26.875" style="1" customWidth="1"/>
    <col min="2" max="2" width="11.625" style="1" bestFit="1" customWidth="1"/>
    <col min="3" max="3" width="7.375" style="1" bestFit="1" customWidth="1"/>
    <col min="4" max="4" width="7.75" style="1" bestFit="1" customWidth="1"/>
    <col min="5" max="5" width="3.125" style="1" bestFit="1" customWidth="1"/>
    <col min="6" max="6" width="11.375" style="1" bestFit="1" customWidth="1"/>
    <col min="7" max="7" width="6.75" style="1" bestFit="1" customWidth="1"/>
    <col min="8" max="8" width="12.625" style="1" bestFit="1" customWidth="1"/>
    <col min="9" max="9" width="7.375" style="1" bestFit="1" customWidth="1"/>
    <col min="10" max="10" width="8.125" style="1" bestFit="1" customWidth="1"/>
    <col min="11" max="16384" width="9" style="1"/>
  </cols>
  <sheetData>
    <row r="1" spans="1:21" x14ac:dyDescent="0.15">
      <c r="A1" s="125"/>
      <c r="B1" s="125"/>
      <c r="C1" s="125"/>
      <c r="D1" s="125"/>
      <c r="E1" s="125"/>
      <c r="F1" s="41"/>
      <c r="G1" s="40"/>
    </row>
    <row r="3" spans="1:21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3"/>
      <c r="L3" s="3"/>
      <c r="M3" s="3"/>
    </row>
    <row r="4" spans="1:21" x14ac:dyDescent="0.15">
      <c r="K4" s="3"/>
      <c r="L4" s="3"/>
      <c r="M4" s="3"/>
    </row>
    <row r="7" spans="1:21" x14ac:dyDescent="0.15">
      <c r="F7" s="4"/>
      <c r="G7" s="4"/>
    </row>
    <row r="11" spans="1:21" x14ac:dyDescent="0.15">
      <c r="A11" s="22" t="s">
        <v>193</v>
      </c>
      <c r="L11" s="22"/>
    </row>
    <row r="12" spans="1:21" x14ac:dyDescent="0.15">
      <c r="A12" s="22" t="str">
        <f>CONCATENATE("Калибруемая отметка:"," ",Измерения!$B$2," ",Измерения!$B$4)</f>
        <v>Калибруемая отметка: 100 A</v>
      </c>
      <c r="L12" s="22"/>
    </row>
    <row r="14" spans="1:21" ht="51.75" customHeight="1" x14ac:dyDescent="0.15">
      <c r="B14" s="5" t="s">
        <v>4</v>
      </c>
      <c r="C14" s="6" t="s">
        <v>5</v>
      </c>
      <c r="D14" s="5" t="s">
        <v>6</v>
      </c>
      <c r="E14" s="6" t="s">
        <v>7</v>
      </c>
      <c r="F14" s="6" t="s">
        <v>8</v>
      </c>
      <c r="G14" s="6" t="s">
        <v>9</v>
      </c>
      <c r="H14" s="5" t="s">
        <v>10</v>
      </c>
      <c r="I14" s="5" t="s">
        <v>11</v>
      </c>
      <c r="J14" s="5" t="s">
        <v>74</v>
      </c>
      <c r="M14" s="5"/>
      <c r="N14" s="6"/>
      <c r="O14" s="5"/>
      <c r="P14" s="6"/>
      <c r="Q14" s="6"/>
      <c r="R14" s="6"/>
      <c r="S14" s="5"/>
      <c r="T14" s="5"/>
      <c r="U14" s="5"/>
    </row>
    <row r="15" spans="1:21" ht="14.25" thickBot="1" x14ac:dyDescent="0.3">
      <c r="A15" s="7"/>
      <c r="B15" s="8" t="s">
        <v>45</v>
      </c>
      <c r="C15" s="8" t="s">
        <v>46</v>
      </c>
      <c r="D15" s="7"/>
      <c r="E15" s="7"/>
      <c r="F15" s="7"/>
      <c r="G15" s="7"/>
      <c r="H15" s="9" t="s">
        <v>47</v>
      </c>
      <c r="I15" s="8" t="s">
        <v>0</v>
      </c>
      <c r="J15" s="7"/>
      <c r="K15" s="3"/>
      <c r="L15" s="7"/>
      <c r="M15" s="8"/>
      <c r="N15" s="8"/>
      <c r="O15" s="7"/>
      <c r="P15" s="7"/>
      <c r="Q15" s="7"/>
      <c r="R15" s="7"/>
      <c r="S15" s="9"/>
      <c r="T15" s="8"/>
      <c r="U15" s="7"/>
    </row>
    <row r="16" spans="1:21" x14ac:dyDescent="0.15">
      <c r="A16" s="62" t="s">
        <v>194</v>
      </c>
      <c r="B16" s="10">
        <v>1</v>
      </c>
      <c r="C16" s="11">
        <f>Измерения!$B$39</f>
        <v>0.74692929718949963</v>
      </c>
      <c r="D16" s="10" t="s">
        <v>79</v>
      </c>
      <c r="E16" s="10" t="s">
        <v>1</v>
      </c>
      <c r="F16" s="10" t="s">
        <v>100</v>
      </c>
      <c r="G16" s="4">
        <f>IF(F16="Нормальное",1,IF(F16="Нормальное 95%",2,IF(F16="Прямоугольное","√3",IF(F16="Нормальное 99%",2.576,""))))</f>
        <v>1</v>
      </c>
      <c r="H16" s="13">
        <f>ABS((IF(G16="√3",C16*B16/SQRT(3),C16*B16/G16)))</f>
        <v>0.74692929718949963</v>
      </c>
      <c r="I16" s="10">
        <f>Измерения!$B$38</f>
        <v>4</v>
      </c>
      <c r="J16" s="35">
        <f>H16/SUM(H16:H19)</f>
        <v>0.61866448663925344</v>
      </c>
      <c r="K16" s="3"/>
      <c r="L16" s="62"/>
      <c r="M16" s="10"/>
      <c r="N16" s="11"/>
      <c r="O16" s="10"/>
      <c r="P16" s="10"/>
      <c r="Q16" s="10"/>
      <c r="R16" s="4"/>
      <c r="S16" s="13"/>
      <c r="T16" s="10"/>
      <c r="U16" s="35"/>
    </row>
    <row r="17" spans="1:21" x14ac:dyDescent="0.15">
      <c r="A17" s="63" t="s">
        <v>195</v>
      </c>
      <c r="B17" s="4">
        <v>1</v>
      </c>
      <c r="C17" s="12">
        <f>Измерения!$B$39</f>
        <v>0.74692929718949963</v>
      </c>
      <c r="D17" s="4" t="s">
        <v>79</v>
      </c>
      <c r="E17" s="4" t="s">
        <v>2</v>
      </c>
      <c r="F17" s="4" t="s">
        <v>12</v>
      </c>
      <c r="G17" s="4" t="str">
        <f>IF(F17="Нормальное",1,IF(F17="Нормальное 95%",2,IF(F17="Прямоугольное","√3",IF(F17="Нормальное 99%",2.576,""))))</f>
        <v>√3</v>
      </c>
      <c r="H17" s="13">
        <f>ABS((IF(G17="√3",C17*B17/SQRT(3),C17*B17/G17)))</f>
        <v>0.43123983079797562</v>
      </c>
      <c r="I17" s="4">
        <v>50</v>
      </c>
      <c r="J17" s="34">
        <f>H17/SUM(H16:H19)</f>
        <v>0.35718610789923461</v>
      </c>
      <c r="K17" s="3"/>
      <c r="L17" s="63"/>
      <c r="M17" s="4"/>
      <c r="N17" s="12"/>
      <c r="O17" s="4"/>
      <c r="P17" s="4"/>
      <c r="Q17" s="4"/>
      <c r="R17" s="4"/>
      <c r="S17" s="13"/>
      <c r="T17" s="4"/>
      <c r="U17" s="34"/>
    </row>
    <row r="18" spans="1:21" x14ac:dyDescent="0.15">
      <c r="A18" s="63" t="s">
        <v>195</v>
      </c>
      <c r="B18" s="4">
        <v>1</v>
      </c>
      <c r="C18" s="12">
        <f>0.05*1/100</f>
        <v>5.0000000000000001E-4</v>
      </c>
      <c r="D18" s="4" t="s">
        <v>79</v>
      </c>
      <c r="E18" s="4" t="s">
        <v>2</v>
      </c>
      <c r="F18" s="4" t="s">
        <v>12</v>
      </c>
      <c r="G18" s="4" t="str">
        <f>IF(F18="Нормальное",1,IF(F18="Нормальное 95%",2,IF(F18="Прямоугольное","√3",IF(F18="Нормальное 99%",2.576,""))))</f>
        <v>√3</v>
      </c>
      <c r="H18" s="13">
        <f>ABS((IF(G18="√3",C18*B18/SQRT(3),C18*B18/G18)))</f>
        <v>2.886751345948129E-4</v>
      </c>
      <c r="I18" s="4">
        <v>50</v>
      </c>
      <c r="J18" s="34">
        <f>H18/SUM(H16:H19)</f>
        <v>2.3910302437140496E-4</v>
      </c>
      <c r="K18" s="3"/>
      <c r="L18" s="63"/>
      <c r="M18" s="4"/>
      <c r="N18" s="12"/>
      <c r="O18" s="4"/>
      <c r="P18" s="4"/>
      <c r="Q18" s="4"/>
      <c r="R18" s="4"/>
      <c r="S18" s="13"/>
      <c r="T18" s="4"/>
      <c r="U18" s="34"/>
    </row>
    <row r="19" spans="1:21" ht="21.75" thickBot="1" x14ac:dyDescent="0.2">
      <c r="A19" s="64" t="s">
        <v>80</v>
      </c>
      <c r="B19" s="14">
        <v>1</v>
      </c>
      <c r="C19" s="15">
        <f>0.1/2</f>
        <v>0.05</v>
      </c>
      <c r="D19" s="14" t="s">
        <v>79</v>
      </c>
      <c r="E19" s="14" t="s">
        <v>2</v>
      </c>
      <c r="F19" s="14" t="s">
        <v>12</v>
      </c>
      <c r="G19" s="14" t="str">
        <f>IF(F19="Нормальное 1",1,IF(F19="Нормальное 95%",2,IF(F19="Прямоугольное","√3",IF(F19="Нормальное 99%",2.576,""))))</f>
        <v>√3</v>
      </c>
      <c r="H19" s="16">
        <f>ABS((IF(G19="√3",C19*B19/SQRT(3),C19*B19/G19)))</f>
        <v>2.8867513459481291E-2</v>
      </c>
      <c r="I19" s="14">
        <v>50</v>
      </c>
      <c r="J19" s="33">
        <f>H19/SUM(H16:H19)</f>
        <v>2.3910302437140499E-2</v>
      </c>
      <c r="K19" s="3"/>
      <c r="L19" s="64"/>
      <c r="M19" s="14"/>
      <c r="N19" s="15"/>
      <c r="O19" s="14"/>
      <c r="P19" s="14"/>
      <c r="Q19" s="14"/>
      <c r="R19" s="14"/>
      <c r="S19" s="16"/>
      <c r="T19" s="14"/>
      <c r="U19" s="33"/>
    </row>
    <row r="20" spans="1:21" ht="13.5" x14ac:dyDescent="0.25">
      <c r="H20" s="17" t="s">
        <v>48</v>
      </c>
      <c r="I20" s="18" t="s">
        <v>49</v>
      </c>
      <c r="S20" s="17"/>
      <c r="T20" s="18"/>
    </row>
    <row r="21" spans="1:21" x14ac:dyDescent="0.15">
      <c r="A21" s="19" t="s">
        <v>21</v>
      </c>
      <c r="H21" s="51">
        <f>SQRT(SUMSQ(H16:H19))</f>
        <v>0.86296267783336567</v>
      </c>
      <c r="I21" s="52">
        <f>(H21^4)/((((H16^4))/I16)+(((H18^4))/I18)+(((H19^4))/I19))</f>
        <v>7.1270530258308948</v>
      </c>
      <c r="J21" s="55">
        <f>SUM(J16:J19)</f>
        <v>1</v>
      </c>
      <c r="L21" s="19"/>
      <c r="S21" s="51"/>
      <c r="T21" s="52"/>
      <c r="U21" s="55"/>
    </row>
    <row r="22" spans="1:21" x14ac:dyDescent="0.15">
      <c r="A22" s="19" t="s">
        <v>58</v>
      </c>
      <c r="B22" s="53"/>
      <c r="H22" s="20">
        <f>ABS(NORMSINV((1-95.45%)/2))</f>
        <v>2.000002443899604</v>
      </c>
      <c r="L22" s="19"/>
      <c r="M22" s="53"/>
      <c r="S22" s="20"/>
    </row>
    <row r="23" spans="1:21" x14ac:dyDescent="0.15">
      <c r="A23" s="19" t="s">
        <v>76</v>
      </c>
      <c r="B23" s="53"/>
      <c r="H23" s="20">
        <f>TINV(1-95.45%,I21)</f>
        <v>2.4288090822342414</v>
      </c>
      <c r="L23" s="19"/>
      <c r="M23" s="53"/>
      <c r="S23" s="20"/>
    </row>
    <row r="24" spans="1:21" ht="13.5" x14ac:dyDescent="0.15">
      <c r="A24" s="19" t="s">
        <v>75</v>
      </c>
      <c r="F24" s="36"/>
      <c r="G24" s="23"/>
      <c r="H24" s="56">
        <f>H22*H21</f>
        <v>1.725927464660878</v>
      </c>
      <c r="I24" s="21" t="s">
        <v>79</v>
      </c>
      <c r="L24" s="19"/>
      <c r="Q24" s="36"/>
      <c r="R24" s="23"/>
      <c r="S24" s="56"/>
      <c r="T24" s="21"/>
    </row>
    <row r="25" spans="1:21" x14ac:dyDescent="0.15">
      <c r="A25" s="19" t="s">
        <v>51</v>
      </c>
      <c r="B25" s="38"/>
      <c r="C25" s="38"/>
      <c r="F25" s="37"/>
      <c r="H25" s="23" t="str">
        <f>"("&amp;FIXED(Измерения!$B$36,1)&amp;" ± "&amp;FIXED(H24,1)&amp;")"&amp;" "&amp;I24</f>
        <v>(2,4 ± 1,7) МОм</v>
      </c>
      <c r="L25" s="19"/>
      <c r="M25" s="38"/>
      <c r="N25" s="38"/>
      <c r="Q25" s="37"/>
      <c r="S25" s="23"/>
    </row>
    <row r="27" spans="1:21" x14ac:dyDescent="0.15">
      <c r="B27" s="54"/>
    </row>
    <row r="28" spans="1:21" x14ac:dyDescent="0.15">
      <c r="A28" s="22"/>
    </row>
    <row r="30" spans="1:21" ht="30.75" customHeight="1" x14ac:dyDescent="0.15">
      <c r="B30" s="5"/>
      <c r="C30" s="6"/>
      <c r="D30" s="5"/>
      <c r="E30" s="6"/>
      <c r="F30" s="6"/>
      <c r="G30" s="6"/>
      <c r="H30" s="5"/>
      <c r="I30" s="5"/>
      <c r="J30" s="5"/>
    </row>
    <row r="31" spans="1:21" ht="11.25" thickBot="1" x14ac:dyDescent="0.2">
      <c r="A31" s="7"/>
      <c r="B31" s="8"/>
      <c r="C31" s="8"/>
      <c r="D31" s="7"/>
      <c r="E31" s="7"/>
      <c r="F31" s="7"/>
      <c r="G31" s="7"/>
      <c r="H31" s="9"/>
      <c r="I31" s="8"/>
      <c r="J31" s="7"/>
    </row>
    <row r="32" spans="1:21" x14ac:dyDescent="0.15">
      <c r="A32" s="62"/>
      <c r="B32" s="10"/>
      <c r="C32" s="11"/>
      <c r="D32" s="10"/>
      <c r="E32" s="10"/>
      <c r="F32" s="10"/>
      <c r="G32" s="4"/>
      <c r="H32" s="13"/>
      <c r="I32" s="10"/>
      <c r="J32" s="35"/>
    </row>
    <row r="33" spans="1:10" ht="33" customHeight="1" x14ac:dyDescent="0.15">
      <c r="A33" s="63"/>
      <c r="B33" s="4"/>
      <c r="C33" s="12"/>
      <c r="D33" s="4"/>
      <c r="E33" s="4"/>
      <c r="F33" s="4"/>
      <c r="G33" s="4"/>
      <c r="H33" s="13"/>
      <c r="I33" s="4"/>
      <c r="J33" s="34"/>
    </row>
    <row r="34" spans="1:10" ht="11.25" thickBot="1" x14ac:dyDescent="0.2">
      <c r="A34" s="64"/>
      <c r="B34" s="14"/>
      <c r="C34" s="15"/>
      <c r="D34" s="14"/>
      <c r="E34" s="14"/>
      <c r="F34" s="14"/>
      <c r="G34" s="14"/>
      <c r="H34" s="16"/>
      <c r="I34" s="14"/>
      <c r="J34" s="33"/>
    </row>
    <row r="35" spans="1:10" x14ac:dyDescent="0.15">
      <c r="H35" s="17"/>
      <c r="I35" s="18"/>
    </row>
    <row r="36" spans="1:10" x14ac:dyDescent="0.15">
      <c r="A36" s="19"/>
      <c r="H36" s="51"/>
      <c r="I36" s="52"/>
      <c r="J36" s="55"/>
    </row>
    <row r="37" spans="1:10" x14ac:dyDescent="0.15">
      <c r="A37" s="19"/>
      <c r="B37" s="53"/>
      <c r="H37" s="20"/>
    </row>
    <row r="38" spans="1:10" x14ac:dyDescent="0.15">
      <c r="A38" s="19"/>
      <c r="B38" s="53"/>
      <c r="H38" s="20"/>
    </row>
    <row r="39" spans="1:10" x14ac:dyDescent="0.15">
      <c r="A39" s="19"/>
      <c r="F39" s="36"/>
      <c r="G39" s="23"/>
      <c r="H39" s="56"/>
      <c r="I39" s="21"/>
    </row>
    <row r="40" spans="1:10" x14ac:dyDescent="0.15">
      <c r="A40" s="19"/>
      <c r="B40" s="38"/>
      <c r="C40" s="38"/>
      <c r="F40" s="37"/>
      <c r="H40" s="23"/>
    </row>
    <row r="43" spans="1:10" x14ac:dyDescent="0.15">
      <c r="A43" s="22"/>
    </row>
    <row r="45" spans="1:10" ht="30.75" customHeight="1" x14ac:dyDescent="0.15">
      <c r="B45" s="5"/>
      <c r="C45" s="6"/>
      <c r="D45" s="5"/>
      <c r="E45" s="6"/>
      <c r="F45" s="6"/>
      <c r="G45" s="6"/>
      <c r="H45" s="5"/>
      <c r="I45" s="5"/>
      <c r="J45" s="5"/>
    </row>
    <row r="46" spans="1:10" ht="11.25" thickBot="1" x14ac:dyDescent="0.2">
      <c r="A46" s="7"/>
      <c r="B46" s="8"/>
      <c r="C46" s="8"/>
      <c r="D46" s="7"/>
      <c r="E46" s="7"/>
      <c r="F46" s="7"/>
      <c r="G46" s="7"/>
      <c r="H46" s="9"/>
      <c r="I46" s="8"/>
      <c r="J46" s="7"/>
    </row>
    <row r="47" spans="1:10" x14ac:dyDescent="0.15">
      <c r="A47" s="62"/>
      <c r="B47" s="10"/>
      <c r="C47" s="11"/>
      <c r="D47" s="10"/>
      <c r="E47" s="10"/>
      <c r="F47" s="10"/>
      <c r="G47" s="4"/>
      <c r="H47" s="13"/>
      <c r="I47" s="10"/>
      <c r="J47" s="35"/>
    </row>
    <row r="48" spans="1:10" ht="31.5" customHeight="1" x14ac:dyDescent="0.15">
      <c r="A48" s="63"/>
      <c r="B48" s="4"/>
      <c r="C48" s="12"/>
      <c r="D48" s="4"/>
      <c r="E48" s="4"/>
      <c r="F48" s="4"/>
      <c r="G48" s="4"/>
      <c r="H48" s="13"/>
      <c r="I48" s="4"/>
      <c r="J48" s="34"/>
    </row>
    <row r="49" spans="1:10" ht="11.25" thickBot="1" x14ac:dyDescent="0.2">
      <c r="A49" s="64"/>
      <c r="B49" s="14"/>
      <c r="C49" s="15"/>
      <c r="D49" s="14"/>
      <c r="E49" s="14"/>
      <c r="F49" s="14"/>
      <c r="G49" s="14"/>
      <c r="H49" s="16"/>
      <c r="I49" s="14"/>
      <c r="J49" s="33"/>
    </row>
    <row r="50" spans="1:10" x14ac:dyDescent="0.15">
      <c r="H50" s="17"/>
      <c r="I50" s="18"/>
    </row>
    <row r="51" spans="1:10" x14ac:dyDescent="0.15">
      <c r="A51" s="19"/>
      <c r="H51" s="51"/>
      <c r="I51" s="52"/>
      <c r="J51" s="55"/>
    </row>
    <row r="52" spans="1:10" x14ac:dyDescent="0.15">
      <c r="A52" s="19"/>
      <c r="B52" s="53"/>
      <c r="H52" s="20"/>
    </row>
    <row r="53" spans="1:10" x14ac:dyDescent="0.15">
      <c r="A53" s="19"/>
      <c r="B53" s="53"/>
      <c r="H53" s="20"/>
    </row>
    <row r="54" spans="1:10" x14ac:dyDescent="0.15">
      <c r="A54" s="19"/>
      <c r="F54" s="36"/>
      <c r="G54" s="23"/>
      <c r="H54" s="56"/>
      <c r="I54" s="21"/>
    </row>
    <row r="55" spans="1:10" x14ac:dyDescent="0.15">
      <c r="A55" s="19"/>
      <c r="B55" s="38"/>
      <c r="C55" s="38"/>
      <c r="F55" s="37"/>
      <c r="H55" s="23"/>
    </row>
  </sheetData>
  <sheetProtection formatCells="0" formatColumns="0" formatRows="0" insertHyperlinks="0" sort="0" autoFilter="0" pivotTables="0"/>
  <mergeCells count="1">
    <mergeCell ref="A1:E1"/>
  </mergeCells>
  <pageMargins left="0.7" right="0.7" top="1.0208333333333333" bottom="0.75" header="0.3" footer="0.3"/>
  <pageSetup paperSize="9" scale="79" orientation="portrait" r:id="rId1"/>
  <headerFooter alignWithMargins="0"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&amp;P+2 из 3</oddFooter>
  </headerFooter>
  <colBreaks count="1" manualBreakCount="1">
    <brk id="10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U56"/>
  <sheetViews>
    <sheetView view="pageBreakPreview" topLeftCell="A7" zoomScale="145" zoomScaleNormal="100" zoomScaleSheetLayoutView="145" workbookViewId="0">
      <selection activeCell="A20" sqref="A20"/>
    </sheetView>
  </sheetViews>
  <sheetFormatPr defaultRowHeight="10.5" x14ac:dyDescent="0.15"/>
  <cols>
    <col min="1" max="1" width="26.875" style="1" customWidth="1"/>
    <col min="2" max="2" width="11.625" style="1" bestFit="1" customWidth="1"/>
    <col min="3" max="3" width="7.375" style="1" bestFit="1" customWidth="1"/>
    <col min="4" max="4" width="7.75" style="1" bestFit="1" customWidth="1"/>
    <col min="5" max="5" width="3.125" style="1" bestFit="1" customWidth="1"/>
    <col min="6" max="6" width="11.375" style="1" bestFit="1" customWidth="1"/>
    <col min="7" max="7" width="6.75" style="1" bestFit="1" customWidth="1"/>
    <col min="8" max="8" width="12.625" style="1" bestFit="1" customWidth="1"/>
    <col min="9" max="9" width="7.375" style="1" bestFit="1" customWidth="1"/>
    <col min="10" max="10" width="8.125" style="1" bestFit="1" customWidth="1"/>
    <col min="11" max="16384" width="9" style="1"/>
  </cols>
  <sheetData>
    <row r="1" spans="1:21" x14ac:dyDescent="0.15">
      <c r="A1" s="125"/>
      <c r="B1" s="125"/>
      <c r="C1" s="125"/>
      <c r="D1" s="125"/>
      <c r="E1" s="125"/>
      <c r="F1" s="41"/>
      <c r="G1" s="40"/>
    </row>
    <row r="3" spans="1:21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3"/>
      <c r="L3" s="3"/>
      <c r="M3" s="3"/>
    </row>
    <row r="4" spans="1:21" x14ac:dyDescent="0.15">
      <c r="K4" s="3"/>
      <c r="L4" s="3"/>
      <c r="M4" s="3"/>
    </row>
    <row r="7" spans="1:21" x14ac:dyDescent="0.15">
      <c r="F7" s="4"/>
      <c r="G7" s="4"/>
    </row>
    <row r="11" spans="1:21" x14ac:dyDescent="0.15">
      <c r="A11" s="22" t="s">
        <v>193</v>
      </c>
      <c r="L11" s="22"/>
    </row>
    <row r="12" spans="1:21" x14ac:dyDescent="0.15">
      <c r="A12" s="22" t="str">
        <f>CONCATENATE("Калибруемая отметка:"," ",Измерения!$B$2," ",Измерения!$B$4)</f>
        <v>Калибруемая отметка: 100 A</v>
      </c>
      <c r="L12" s="22"/>
    </row>
    <row r="14" spans="1:21" ht="21" x14ac:dyDescent="0.15">
      <c r="B14" s="5" t="s">
        <v>4</v>
      </c>
      <c r="C14" s="6" t="s">
        <v>5</v>
      </c>
      <c r="D14" s="5" t="s">
        <v>6</v>
      </c>
      <c r="E14" s="6" t="s">
        <v>7</v>
      </c>
      <c r="F14" s="6" t="s">
        <v>8</v>
      </c>
      <c r="G14" s="6" t="s">
        <v>9</v>
      </c>
      <c r="H14" s="5" t="s">
        <v>10</v>
      </c>
      <c r="I14" s="5" t="s">
        <v>11</v>
      </c>
      <c r="J14" s="5" t="s">
        <v>74</v>
      </c>
      <c r="M14" s="5"/>
      <c r="N14" s="6"/>
      <c r="O14" s="5"/>
      <c r="P14" s="6"/>
      <c r="Q14" s="6"/>
      <c r="R14" s="6"/>
      <c r="S14" s="5"/>
      <c r="T14" s="5"/>
      <c r="U14" s="5"/>
    </row>
    <row r="15" spans="1:21" ht="14.25" thickBot="1" x14ac:dyDescent="0.3">
      <c r="A15" s="7"/>
      <c r="B15" s="8" t="s">
        <v>45</v>
      </c>
      <c r="C15" s="8" t="s">
        <v>46</v>
      </c>
      <c r="D15" s="7"/>
      <c r="E15" s="7"/>
      <c r="F15" s="7"/>
      <c r="G15" s="7"/>
      <c r="H15" s="9" t="s">
        <v>47</v>
      </c>
      <c r="I15" s="8" t="s">
        <v>0</v>
      </c>
      <c r="J15" s="7"/>
      <c r="K15" s="3"/>
      <c r="L15" s="7"/>
      <c r="M15" s="8"/>
      <c r="N15" s="8"/>
      <c r="O15" s="7"/>
      <c r="P15" s="7"/>
      <c r="Q15" s="7"/>
      <c r="R15" s="7"/>
      <c r="S15" s="9"/>
      <c r="T15" s="8"/>
      <c r="U15" s="7"/>
    </row>
    <row r="16" spans="1:21" x14ac:dyDescent="0.15">
      <c r="A16" s="62" t="s">
        <v>194</v>
      </c>
      <c r="B16" s="10">
        <v>1</v>
      </c>
      <c r="C16" s="11">
        <f>Измерения!$B$39</f>
        <v>0.74692929718949963</v>
      </c>
      <c r="D16" s="10" t="s">
        <v>79</v>
      </c>
      <c r="E16" s="10" t="s">
        <v>1</v>
      </c>
      <c r="F16" s="10" t="s">
        <v>100</v>
      </c>
      <c r="G16" s="4">
        <f>IF(F16="Нормальное",1,IF(F16="Нормальное 95%",2,IF(F16="Прямоугольное","√3",IF(F16="Нормальное 99%",2.576,""))))</f>
        <v>1</v>
      </c>
      <c r="H16" s="13">
        <f>ABS((IF(G16="√3",C16*B16/SQRT(3),C16*B16/G16)))</f>
        <v>0.74692929718949963</v>
      </c>
      <c r="I16" s="10">
        <f>Измерения!$B$38</f>
        <v>4</v>
      </c>
      <c r="J16" s="35">
        <f>H16/SUM(H16:H20)</f>
        <v>0.60421746432933676</v>
      </c>
      <c r="K16" s="3"/>
      <c r="L16" s="62"/>
      <c r="M16" s="10"/>
      <c r="N16" s="11"/>
      <c r="O16" s="10"/>
      <c r="P16" s="10"/>
      <c r="Q16" s="10"/>
      <c r="R16" s="4"/>
      <c r="S16" s="13"/>
      <c r="T16" s="10"/>
      <c r="U16" s="35"/>
    </row>
    <row r="17" spans="1:21" x14ac:dyDescent="0.15">
      <c r="A17" s="63" t="s">
        <v>195</v>
      </c>
      <c r="B17" s="4">
        <v>1</v>
      </c>
      <c r="C17" s="12">
        <f>Измерения!$B$39</f>
        <v>0.74692929718949963</v>
      </c>
      <c r="D17" s="4" t="s">
        <v>79</v>
      </c>
      <c r="E17" s="4" t="s">
        <v>2</v>
      </c>
      <c r="F17" s="4" t="s">
        <v>12</v>
      </c>
      <c r="G17" s="4" t="str">
        <f>IF(F17="Нормальное",1,IF(F17="Нормальное 95%",2,IF(F17="Прямоугольное","√3",IF(F17="Нормальное 99%",2.576,""))))</f>
        <v>√3</v>
      </c>
      <c r="H17" s="13">
        <f>ABS((IF(G17="√3",C17*B17/SQRT(3),C17*B17/G17)))</f>
        <v>0.43123983079797562</v>
      </c>
      <c r="I17" s="4">
        <v>50</v>
      </c>
      <c r="J17" s="34">
        <f>H17/SUM(H16:H20)</f>
        <v>0.34884511567961574</v>
      </c>
      <c r="K17" s="3"/>
      <c r="L17" s="63"/>
      <c r="M17" s="4"/>
      <c r="N17" s="12"/>
      <c r="O17" s="4"/>
      <c r="P17" s="4"/>
      <c r="Q17" s="4"/>
      <c r="R17" s="4"/>
      <c r="S17" s="13"/>
      <c r="T17" s="4"/>
      <c r="U17" s="34"/>
    </row>
    <row r="18" spans="1:21" x14ac:dyDescent="0.15">
      <c r="A18" s="63" t="s">
        <v>195</v>
      </c>
      <c r="B18" s="4">
        <v>1</v>
      </c>
      <c r="C18" s="12">
        <f>0.05*1/100</f>
        <v>5.0000000000000001E-4</v>
      </c>
      <c r="D18" s="4" t="s">
        <v>79</v>
      </c>
      <c r="E18" s="4" t="s">
        <v>2</v>
      </c>
      <c r="F18" s="4" t="s">
        <v>12</v>
      </c>
      <c r="G18" s="4" t="str">
        <f>IF(F18="Нормальное",1,IF(F18="Нормальное 95%",2,IF(F18="Прямоугольное","√3",IF(F18="Нормальное 99%",2.576,""))))</f>
        <v>√3</v>
      </c>
      <c r="H18" s="13">
        <f>ABS((IF(G18="√3",C18*B18/SQRT(3),C18*B18/G18)))</f>
        <v>2.886751345948129E-4</v>
      </c>
      <c r="I18" s="4">
        <v>50</v>
      </c>
      <c r="J18" s="34">
        <f>H18/SUM(H16:H20)</f>
        <v>2.3351950244302174E-4</v>
      </c>
      <c r="K18" s="3"/>
      <c r="L18" s="63"/>
      <c r="M18" s="4"/>
      <c r="N18" s="12"/>
      <c r="O18" s="4"/>
      <c r="P18" s="4"/>
      <c r="Q18" s="4"/>
      <c r="R18" s="4"/>
      <c r="S18" s="13"/>
      <c r="T18" s="4"/>
      <c r="U18" s="34"/>
    </row>
    <row r="19" spans="1:21" x14ac:dyDescent="0.15">
      <c r="A19" s="63" t="s">
        <v>195</v>
      </c>
      <c r="B19" s="4">
        <v>1</v>
      </c>
      <c r="C19" s="12">
        <f>0.1/2</f>
        <v>0.05</v>
      </c>
      <c r="D19" s="4" t="s">
        <v>79</v>
      </c>
      <c r="E19" s="4" t="s">
        <v>2</v>
      </c>
      <c r="F19" s="4" t="s">
        <v>12</v>
      </c>
      <c r="G19" s="4" t="str">
        <f>IF(F19="Нормальное",1,IF(F19="Нормальное 95%",2,IF(F19="Прямоугольное","√3",IF(F19="Нормальное 99%",2.576,""))))</f>
        <v>√3</v>
      </c>
      <c r="H19" s="13">
        <f>ABS((IF(G19="√3",C19*B19/SQRT(3),C19*B19/G19)))</f>
        <v>2.8867513459481291E-2</v>
      </c>
      <c r="I19" s="4">
        <v>50</v>
      </c>
      <c r="J19" s="34">
        <f>H19/SUM(H16:H20)</f>
        <v>2.3351950244302176E-2</v>
      </c>
      <c r="K19" s="3"/>
      <c r="L19" s="63"/>
      <c r="M19" s="4"/>
      <c r="N19" s="12"/>
      <c r="O19" s="4"/>
      <c r="P19" s="4"/>
      <c r="Q19" s="4"/>
      <c r="R19" s="4"/>
      <c r="S19" s="13"/>
      <c r="T19" s="4"/>
      <c r="U19" s="34"/>
    </row>
    <row r="20" spans="1:21" ht="21.75" thickBot="1" x14ac:dyDescent="0.2">
      <c r="A20" s="64" t="s">
        <v>80</v>
      </c>
      <c r="B20" s="14">
        <v>1</v>
      </c>
      <c r="C20" s="15">
        <f>0.1/2</f>
        <v>0.05</v>
      </c>
      <c r="D20" s="14" t="s">
        <v>79</v>
      </c>
      <c r="E20" s="14" t="s">
        <v>2</v>
      </c>
      <c r="F20" s="14" t="s">
        <v>12</v>
      </c>
      <c r="G20" s="14" t="str">
        <f>IF(F20="Нормальное 1",1,IF(F20="Нормальное 95%",2,IF(F20="Прямоугольное","√3",IF(F20="Нормальное 99%",2.576,""))))</f>
        <v>√3</v>
      </c>
      <c r="H20" s="16">
        <f>ABS((IF(G20="√3",C20*B20/SQRT(3),C20*B20/G20)))</f>
        <v>2.8867513459481291E-2</v>
      </c>
      <c r="I20" s="14">
        <v>50</v>
      </c>
      <c r="J20" s="33">
        <f>H20/SUM(H16:H20)</f>
        <v>2.3351950244302176E-2</v>
      </c>
      <c r="K20" s="3"/>
      <c r="L20" s="64"/>
      <c r="M20" s="14"/>
      <c r="N20" s="15"/>
      <c r="O20" s="14"/>
      <c r="P20" s="14"/>
      <c r="Q20" s="14"/>
      <c r="R20" s="14"/>
      <c r="S20" s="16"/>
      <c r="T20" s="14"/>
      <c r="U20" s="33"/>
    </row>
    <row r="21" spans="1:21" ht="13.5" x14ac:dyDescent="0.25">
      <c r="H21" s="17" t="s">
        <v>48</v>
      </c>
      <c r="I21" s="18" t="s">
        <v>49</v>
      </c>
      <c r="S21" s="17"/>
      <c r="T21" s="18"/>
    </row>
    <row r="22" spans="1:21" x14ac:dyDescent="0.15">
      <c r="A22" s="19" t="s">
        <v>21</v>
      </c>
      <c r="H22" s="51">
        <f>SQRT(SUMSQ(H16:H20))</f>
        <v>0.8634453756125321</v>
      </c>
      <c r="I22" s="52">
        <f>(H22^4)/((((H16^4))/I16)+(((H18^4))/I18)+(((H20^4))/I20))</f>
        <v>7.1430124653505027</v>
      </c>
      <c r="J22" s="55">
        <f>SUM(J16:J20)</f>
        <v>0.99999999999999978</v>
      </c>
      <c r="L22" s="19"/>
      <c r="S22" s="51"/>
      <c r="T22" s="52"/>
      <c r="U22" s="55"/>
    </row>
    <row r="23" spans="1:21" x14ac:dyDescent="0.15">
      <c r="A23" s="19" t="s">
        <v>58</v>
      </c>
      <c r="B23" s="53"/>
      <c r="H23" s="20">
        <f>ABS(NORMSINV((1-95.45%)/2))</f>
        <v>2.000002443899604</v>
      </c>
      <c r="L23" s="19"/>
      <c r="M23" s="53"/>
      <c r="S23" s="20"/>
    </row>
    <row r="24" spans="1:21" x14ac:dyDescent="0.15">
      <c r="A24" s="19" t="s">
        <v>76</v>
      </c>
      <c r="B24" s="53"/>
      <c r="H24" s="20">
        <f>TINV(1-95.45%,I22)</f>
        <v>2.4288090822342414</v>
      </c>
      <c r="L24" s="19"/>
      <c r="M24" s="53"/>
      <c r="S24" s="20"/>
    </row>
    <row r="25" spans="1:21" ht="13.5" x14ac:dyDescent="0.15">
      <c r="A25" s="19" t="s">
        <v>75</v>
      </c>
      <c r="F25" s="36"/>
      <c r="G25" s="23"/>
      <c r="H25" s="56">
        <f>H23*H22</f>
        <v>1.7268928613988757</v>
      </c>
      <c r="I25" s="21" t="s">
        <v>79</v>
      </c>
      <c r="L25" s="19"/>
      <c r="Q25" s="36"/>
      <c r="R25" s="23"/>
      <c r="S25" s="56"/>
      <c r="T25" s="21"/>
    </row>
    <row r="26" spans="1:21" x14ac:dyDescent="0.15">
      <c r="A26" s="19" t="s">
        <v>51</v>
      </c>
      <c r="B26" s="38"/>
      <c r="C26" s="38"/>
      <c r="F26" s="37"/>
      <c r="H26" s="23" t="str">
        <f>"("&amp;FIXED(Измерения!$B$36,1)&amp;" ± "&amp;FIXED(H25,1)&amp;")"&amp;" "&amp;I25</f>
        <v>(2,4 ± 1,7) МОм</v>
      </c>
      <c r="L26" s="19"/>
      <c r="M26" s="38"/>
      <c r="N26" s="38"/>
      <c r="Q26" s="37"/>
      <c r="S26" s="23"/>
    </row>
    <row r="28" spans="1:21" x14ac:dyDescent="0.15">
      <c r="B28" s="54"/>
    </row>
    <row r="29" spans="1:21" x14ac:dyDescent="0.15">
      <c r="A29" s="22"/>
    </row>
    <row r="31" spans="1:21" ht="30.75" customHeight="1" x14ac:dyDescent="0.15">
      <c r="B31" s="5"/>
      <c r="C31" s="6"/>
      <c r="D31" s="5"/>
      <c r="E31" s="6"/>
      <c r="F31" s="6"/>
      <c r="G31" s="6"/>
      <c r="H31" s="5"/>
      <c r="I31" s="5"/>
      <c r="J31" s="5"/>
    </row>
    <row r="32" spans="1:21" ht="11.25" thickBot="1" x14ac:dyDescent="0.2">
      <c r="A32" s="7"/>
      <c r="B32" s="8"/>
      <c r="C32" s="8"/>
      <c r="D32" s="7"/>
      <c r="E32" s="7"/>
      <c r="F32" s="7"/>
      <c r="G32" s="7"/>
      <c r="H32" s="9"/>
      <c r="I32" s="8"/>
      <c r="J32" s="7"/>
    </row>
    <row r="33" spans="1:10" x14ac:dyDescent="0.15">
      <c r="A33" s="62"/>
      <c r="B33" s="10"/>
      <c r="C33" s="11"/>
      <c r="D33" s="10"/>
      <c r="E33" s="10"/>
      <c r="F33" s="10"/>
      <c r="G33" s="4"/>
      <c r="H33" s="13"/>
      <c r="I33" s="10"/>
      <c r="J33" s="35"/>
    </row>
    <row r="34" spans="1:10" ht="33" customHeight="1" x14ac:dyDescent="0.15">
      <c r="A34" s="63"/>
      <c r="B34" s="4"/>
      <c r="C34" s="12"/>
      <c r="D34" s="4"/>
      <c r="E34" s="4"/>
      <c r="F34" s="4"/>
      <c r="G34" s="4"/>
      <c r="H34" s="13"/>
      <c r="I34" s="4"/>
      <c r="J34" s="34"/>
    </row>
    <row r="35" spans="1:10" ht="11.25" thickBot="1" x14ac:dyDescent="0.2">
      <c r="A35" s="64"/>
      <c r="B35" s="14"/>
      <c r="C35" s="15"/>
      <c r="D35" s="14"/>
      <c r="E35" s="14"/>
      <c r="F35" s="14"/>
      <c r="G35" s="14"/>
      <c r="H35" s="16"/>
      <c r="I35" s="14"/>
      <c r="J35" s="33"/>
    </row>
    <row r="36" spans="1:10" x14ac:dyDescent="0.15">
      <c r="H36" s="17"/>
      <c r="I36" s="18"/>
    </row>
    <row r="37" spans="1:10" x14ac:dyDescent="0.15">
      <c r="A37" s="19"/>
      <c r="H37" s="51"/>
      <c r="I37" s="52"/>
      <c r="J37" s="55"/>
    </row>
    <row r="38" spans="1:10" x14ac:dyDescent="0.15">
      <c r="A38" s="19"/>
      <c r="B38" s="53"/>
      <c r="H38" s="20"/>
    </row>
    <row r="39" spans="1:10" x14ac:dyDescent="0.15">
      <c r="A39" s="19"/>
      <c r="B39" s="53"/>
      <c r="H39" s="20"/>
    </row>
    <row r="40" spans="1:10" x14ac:dyDescent="0.15">
      <c r="A40" s="19"/>
      <c r="F40" s="36"/>
      <c r="G40" s="23"/>
      <c r="H40" s="56"/>
      <c r="I40" s="21"/>
    </row>
    <row r="41" spans="1:10" x14ac:dyDescent="0.15">
      <c r="A41" s="19"/>
      <c r="B41" s="38"/>
      <c r="C41" s="38"/>
      <c r="F41" s="37"/>
      <c r="H41" s="23"/>
    </row>
    <row r="44" spans="1:10" x14ac:dyDescent="0.15">
      <c r="A44" s="22"/>
    </row>
    <row r="46" spans="1:10" ht="30.75" customHeight="1" x14ac:dyDescent="0.15">
      <c r="B46" s="5"/>
      <c r="C46" s="6"/>
      <c r="D46" s="5"/>
      <c r="E46" s="6"/>
      <c r="F46" s="6"/>
      <c r="G46" s="6"/>
      <c r="H46" s="5"/>
      <c r="I46" s="5"/>
      <c r="J46" s="5"/>
    </row>
    <row r="47" spans="1:10" ht="11.25" thickBot="1" x14ac:dyDescent="0.2">
      <c r="A47" s="7"/>
      <c r="B47" s="8"/>
      <c r="C47" s="8"/>
      <c r="D47" s="7"/>
      <c r="E47" s="7"/>
      <c r="F47" s="7"/>
      <c r="G47" s="7"/>
      <c r="H47" s="9"/>
      <c r="I47" s="8"/>
      <c r="J47" s="7"/>
    </row>
    <row r="48" spans="1:10" x14ac:dyDescent="0.15">
      <c r="A48" s="62"/>
      <c r="B48" s="10"/>
      <c r="C48" s="11"/>
      <c r="D48" s="10"/>
      <c r="E48" s="10"/>
      <c r="F48" s="10"/>
      <c r="G48" s="4"/>
      <c r="H48" s="13"/>
      <c r="I48" s="10"/>
      <c r="J48" s="35"/>
    </row>
    <row r="49" spans="1:10" ht="31.5" customHeight="1" x14ac:dyDescent="0.15">
      <c r="A49" s="63"/>
      <c r="B49" s="4"/>
      <c r="C49" s="12"/>
      <c r="D49" s="4"/>
      <c r="E49" s="4"/>
      <c r="F49" s="4"/>
      <c r="G49" s="4"/>
      <c r="H49" s="13"/>
      <c r="I49" s="4"/>
      <c r="J49" s="34"/>
    </row>
    <row r="50" spans="1:10" ht="11.25" thickBot="1" x14ac:dyDescent="0.2">
      <c r="A50" s="64"/>
      <c r="B50" s="14"/>
      <c r="C50" s="15"/>
      <c r="D50" s="14"/>
      <c r="E50" s="14"/>
      <c r="F50" s="14"/>
      <c r="G50" s="14"/>
      <c r="H50" s="16"/>
      <c r="I50" s="14"/>
      <c r="J50" s="33"/>
    </row>
    <row r="51" spans="1:10" x14ac:dyDescent="0.15">
      <c r="H51" s="17"/>
      <c r="I51" s="18"/>
    </row>
    <row r="52" spans="1:10" x14ac:dyDescent="0.15">
      <c r="A52" s="19"/>
      <c r="H52" s="51"/>
      <c r="I52" s="52"/>
      <c r="J52" s="55"/>
    </row>
    <row r="53" spans="1:10" x14ac:dyDescent="0.15">
      <c r="A53" s="19"/>
      <c r="B53" s="53"/>
      <c r="H53" s="20"/>
    </row>
    <row r="54" spans="1:10" x14ac:dyDescent="0.15">
      <c r="A54" s="19"/>
      <c r="B54" s="53"/>
      <c r="H54" s="20"/>
    </row>
    <row r="55" spans="1:10" x14ac:dyDescent="0.15">
      <c r="A55" s="19"/>
      <c r="F55" s="36"/>
      <c r="G55" s="23"/>
      <c r="H55" s="56"/>
      <c r="I55" s="21"/>
    </row>
    <row r="56" spans="1:10" x14ac:dyDescent="0.15">
      <c r="A56" s="19"/>
      <c r="B56" s="38"/>
      <c r="C56" s="38"/>
      <c r="F56" s="37"/>
      <c r="H56" s="23"/>
    </row>
  </sheetData>
  <sheetProtection formatCells="0" formatColumns="0" formatRows="0" insertHyperlinks="0" sort="0" autoFilter="0" pivotTables="0"/>
  <mergeCells count="1">
    <mergeCell ref="A1:E1"/>
  </mergeCells>
  <pageMargins left="0.7" right="0.7" top="1.0208333333333333" bottom="0.75" header="0.3" footer="0.3"/>
  <pageSetup paperSize="9" scale="79" orientation="portrait" r:id="rId1"/>
  <headerFooter alignWithMargins="0">
    <oddHeader>&amp;C&amp;"Segoe UI Light,полужирный"&amp;10РЕСПУБЛИКАНСКОЕ УНИТАРНОЕ ПРЕДПРИЯТИЕ
«БЕЛОРУССКИЙ ГОСУДАРСТВЕННЫЙ ИНСТИТУТ МЕТРОЛОГИИ»
(БелГИМ)</oddHeader>
    <oddFooter>&amp;C&amp;"Segoe UI Light,курсив"&amp;8Страница &amp;P+2 из 3</oddFooter>
  </headerFooter>
  <colBreaks count="1" manualBreakCount="1">
    <brk id="10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42"/>
  <sheetViews>
    <sheetView zoomScale="85" zoomScaleNormal="85" zoomScaleSheetLayoutView="145" workbookViewId="0">
      <selection activeCell="G3" sqref="B2:G3"/>
    </sheetView>
  </sheetViews>
  <sheetFormatPr defaultRowHeight="15.75" x14ac:dyDescent="0.25"/>
  <cols>
    <col min="1" max="1" width="19.625" customWidth="1"/>
    <col min="2" max="2" width="23.75" customWidth="1"/>
    <col min="3" max="3" width="12.125" customWidth="1"/>
    <col min="4" max="4" width="14.5" customWidth="1"/>
    <col min="5" max="5" width="13.75" customWidth="1"/>
    <col min="6" max="6" width="15.375" bestFit="1" customWidth="1"/>
    <col min="11" max="11" width="11.5" customWidth="1"/>
    <col min="17" max="17" width="26" customWidth="1"/>
  </cols>
  <sheetData>
    <row r="1" spans="1:18" ht="30.75" customHeight="1" x14ac:dyDescent="0.25">
      <c r="A1" s="46"/>
      <c r="B1" s="50" t="s">
        <v>81</v>
      </c>
      <c r="C1" s="50" t="s">
        <v>62</v>
      </c>
      <c r="D1" s="50" t="s">
        <v>157</v>
      </c>
      <c r="E1" s="50" t="s">
        <v>63</v>
      </c>
      <c r="F1" s="50" t="s">
        <v>64</v>
      </c>
      <c r="G1" s="50" t="s">
        <v>54</v>
      </c>
      <c r="H1" s="105" t="s">
        <v>103</v>
      </c>
      <c r="I1" s="97"/>
      <c r="J1" s="98"/>
      <c r="K1" s="97"/>
      <c r="O1" s="57" t="s">
        <v>67</v>
      </c>
    </row>
    <row r="2" spans="1:18" x14ac:dyDescent="0.25">
      <c r="A2" s="47"/>
      <c r="B2" s="84"/>
      <c r="C2" s="48"/>
      <c r="D2" s="49"/>
      <c r="E2" s="49"/>
      <c r="F2" s="49"/>
      <c r="G2" s="48"/>
      <c r="H2" s="106">
        <v>-1</v>
      </c>
      <c r="I2" s="99"/>
      <c r="J2" s="100"/>
      <c r="K2" s="101"/>
      <c r="O2" s="57" t="s">
        <v>68</v>
      </c>
    </row>
    <row r="3" spans="1:18" x14ac:dyDescent="0.25">
      <c r="A3" s="47"/>
      <c r="B3" s="84"/>
      <c r="C3" s="48"/>
      <c r="D3" s="49"/>
      <c r="E3" s="49"/>
      <c r="F3" s="49"/>
      <c r="G3" s="48"/>
      <c r="H3" s="106">
        <v>-1</v>
      </c>
      <c r="I3" s="100"/>
      <c r="J3" s="100"/>
      <c r="K3" s="101"/>
    </row>
    <row r="4" spans="1:18" x14ac:dyDescent="0.25">
      <c r="A4" s="47"/>
      <c r="B4" s="84"/>
      <c r="C4" s="48"/>
      <c r="D4" s="49"/>
      <c r="E4" s="49"/>
      <c r="F4" s="49"/>
      <c r="G4" s="48"/>
      <c r="H4" s="106">
        <v>-1</v>
      </c>
      <c r="I4" s="100"/>
      <c r="J4" s="100"/>
      <c r="K4" s="101"/>
    </row>
    <row r="5" spans="1:18" x14ac:dyDescent="0.25">
      <c r="A5" s="47"/>
      <c r="B5" s="84"/>
      <c r="C5" s="48"/>
      <c r="D5" s="49"/>
      <c r="E5" s="49"/>
      <c r="F5" s="49"/>
      <c r="G5" s="48"/>
      <c r="H5" s="106">
        <v>-1</v>
      </c>
      <c r="I5" s="100"/>
      <c r="J5" s="100"/>
      <c r="K5" s="101"/>
    </row>
    <row r="6" spans="1:18" x14ac:dyDescent="0.25">
      <c r="A6" s="83"/>
      <c r="B6" s="84"/>
      <c r="C6" s="48"/>
      <c r="D6" s="49"/>
      <c r="E6" s="49"/>
      <c r="F6" s="49"/>
      <c r="G6" s="48"/>
      <c r="H6" s="106">
        <v>-1</v>
      </c>
      <c r="I6" s="100"/>
      <c r="J6" s="100"/>
      <c r="K6" s="101"/>
    </row>
    <row r="7" spans="1:18" x14ac:dyDescent="0.25">
      <c r="A7" s="83"/>
      <c r="B7" s="84"/>
      <c r="C7" s="48"/>
      <c r="D7" s="49"/>
      <c r="E7" s="49"/>
      <c r="F7" s="49"/>
      <c r="G7" s="48"/>
      <c r="H7" s="106">
        <v>-1</v>
      </c>
      <c r="I7" s="100"/>
      <c r="J7" s="100"/>
      <c r="K7" s="101"/>
    </row>
    <row r="8" spans="1:18" x14ac:dyDescent="0.25">
      <c r="A8" s="83"/>
      <c r="B8" s="84"/>
      <c r="C8" s="48"/>
      <c r="D8" s="49"/>
      <c r="E8" s="49"/>
      <c r="F8" s="49"/>
      <c r="G8" s="48"/>
      <c r="H8" s="106">
        <v>-1</v>
      </c>
      <c r="I8" s="100"/>
      <c r="J8" s="100"/>
      <c r="K8" s="101"/>
    </row>
    <row r="9" spans="1:18" x14ac:dyDescent="0.25">
      <c r="A9" s="83"/>
      <c r="B9" s="84"/>
      <c r="C9" s="48"/>
      <c r="D9" s="49"/>
      <c r="E9" s="49"/>
      <c r="F9" s="49"/>
      <c r="G9" s="48"/>
      <c r="H9" s="106">
        <v>-1</v>
      </c>
      <c r="I9" s="100"/>
      <c r="J9" s="100"/>
      <c r="K9" s="101"/>
    </row>
    <row r="10" spans="1:18" x14ac:dyDescent="0.25">
      <c r="A10" s="83"/>
      <c r="B10" s="84"/>
      <c r="C10" s="48"/>
      <c r="D10" s="49"/>
      <c r="E10" s="49"/>
      <c r="F10" s="49"/>
      <c r="G10" s="48"/>
      <c r="H10" s="106">
        <v>-1</v>
      </c>
      <c r="I10" s="100"/>
      <c r="J10" s="100"/>
      <c r="K10" s="101"/>
      <c r="O10" s="58" t="s">
        <v>82</v>
      </c>
      <c r="R10" s="65">
        <v>121705</v>
      </c>
    </row>
    <row r="11" spans="1:18" x14ac:dyDescent="0.25">
      <c r="A11" s="83"/>
      <c r="B11" s="84"/>
      <c r="C11" s="48"/>
      <c r="D11" s="49"/>
      <c r="E11" s="49"/>
      <c r="F11" s="49"/>
      <c r="G11" s="48"/>
      <c r="H11" s="106">
        <v>-1</v>
      </c>
      <c r="I11" s="100"/>
      <c r="J11" s="100"/>
      <c r="K11" s="101"/>
      <c r="O11" s="58" t="s">
        <v>83</v>
      </c>
      <c r="R11" s="65">
        <v>170396</v>
      </c>
    </row>
    <row r="12" spans="1:18" x14ac:dyDescent="0.25">
      <c r="A12" s="83"/>
      <c r="B12" s="84"/>
      <c r="C12" s="48"/>
      <c r="D12" s="49"/>
      <c r="E12" s="49"/>
      <c r="F12" s="49"/>
      <c r="G12" s="48"/>
      <c r="H12" s="106">
        <v>-1</v>
      </c>
      <c r="I12" s="100"/>
      <c r="J12" s="100"/>
      <c r="K12" s="101"/>
      <c r="O12" s="58" t="s">
        <v>84</v>
      </c>
      <c r="R12" s="65">
        <v>195158</v>
      </c>
    </row>
    <row r="13" spans="1:18" x14ac:dyDescent="0.25">
      <c r="A13" s="83"/>
      <c r="B13" s="84"/>
      <c r="C13" s="48"/>
      <c r="D13" s="49"/>
      <c r="E13" s="49"/>
      <c r="F13" s="49"/>
      <c r="G13" s="48"/>
      <c r="H13" s="106">
        <v>-1</v>
      </c>
      <c r="I13" s="100"/>
      <c r="J13" s="100"/>
      <c r="K13" s="101"/>
      <c r="O13" s="58" t="s">
        <v>85</v>
      </c>
      <c r="R13" s="65">
        <v>208897</v>
      </c>
    </row>
    <row r="14" spans="1:18" x14ac:dyDescent="0.25">
      <c r="B14" s="84"/>
      <c r="C14" s="48"/>
      <c r="D14" s="49"/>
      <c r="E14" s="49"/>
      <c r="F14" s="49"/>
      <c r="G14" s="48"/>
      <c r="H14" s="106">
        <v>-1</v>
      </c>
      <c r="O14" s="58" t="s">
        <v>86</v>
      </c>
      <c r="R14" s="65">
        <v>191051</v>
      </c>
    </row>
    <row r="15" spans="1:18" x14ac:dyDescent="0.25">
      <c r="B15" s="84"/>
      <c r="C15" s="48"/>
      <c r="D15" s="49"/>
      <c r="E15" s="49"/>
      <c r="F15" s="49"/>
      <c r="G15" s="48"/>
      <c r="H15" s="106">
        <v>-1</v>
      </c>
      <c r="O15" s="58" t="s">
        <v>87</v>
      </c>
      <c r="R15" s="65">
        <v>180545</v>
      </c>
    </row>
    <row r="16" spans="1:18" x14ac:dyDescent="0.25">
      <c r="B16" s="84"/>
      <c r="C16" s="48"/>
      <c r="D16" s="49"/>
      <c r="E16" s="49"/>
      <c r="F16" s="49"/>
      <c r="G16" s="48"/>
      <c r="H16" s="106">
        <v>-1</v>
      </c>
      <c r="O16" s="58" t="s">
        <v>88</v>
      </c>
      <c r="R16" s="65">
        <v>226474</v>
      </c>
    </row>
    <row r="17" spans="2:18" x14ac:dyDescent="0.25">
      <c r="B17" s="84"/>
      <c r="C17" s="48"/>
      <c r="D17" s="49"/>
      <c r="E17" s="49"/>
      <c r="F17" s="49"/>
      <c r="G17" s="48"/>
      <c r="H17" s="106">
        <v>-1</v>
      </c>
      <c r="O17" s="58" t="s">
        <v>88</v>
      </c>
      <c r="R17" s="65">
        <v>13642</v>
      </c>
    </row>
    <row r="18" spans="2:18" x14ac:dyDescent="0.25">
      <c r="B18" s="84"/>
      <c r="C18" s="48"/>
      <c r="D18" s="49"/>
      <c r="E18" s="49"/>
      <c r="F18" s="49"/>
      <c r="G18" s="48"/>
      <c r="H18" s="106">
        <v>-1</v>
      </c>
      <c r="O18" s="58" t="s">
        <v>86</v>
      </c>
      <c r="R18" s="65">
        <v>177857</v>
      </c>
    </row>
    <row r="19" spans="2:18" x14ac:dyDescent="0.25">
      <c r="B19" s="84"/>
      <c r="C19" s="48"/>
      <c r="D19" s="49"/>
      <c r="E19" s="49"/>
      <c r="F19" s="49"/>
      <c r="G19" s="48"/>
      <c r="H19" s="106">
        <v>-1</v>
      </c>
      <c r="O19" s="58" t="s">
        <v>89</v>
      </c>
      <c r="R19" s="65">
        <v>155693</v>
      </c>
    </row>
    <row r="20" spans="2:18" x14ac:dyDescent="0.25">
      <c r="B20" s="84"/>
      <c r="C20" s="48"/>
      <c r="D20" s="49"/>
      <c r="E20" s="49"/>
      <c r="F20" s="49"/>
      <c r="G20" s="48"/>
      <c r="H20" s="106">
        <v>-1</v>
      </c>
      <c r="O20" s="65" t="s">
        <v>90</v>
      </c>
      <c r="R20" s="65">
        <v>233285</v>
      </c>
    </row>
    <row r="21" spans="2:18" x14ac:dyDescent="0.25">
      <c r="B21" s="84"/>
      <c r="C21" s="48"/>
      <c r="D21" s="49"/>
      <c r="E21" s="49"/>
      <c r="F21" s="49"/>
      <c r="G21" s="48"/>
      <c r="H21" s="106">
        <v>-1</v>
      </c>
      <c r="O21" s="65" t="s">
        <v>89</v>
      </c>
      <c r="R21" s="65">
        <v>156163</v>
      </c>
    </row>
    <row r="22" spans="2:18" x14ac:dyDescent="0.25">
      <c r="B22" s="84"/>
      <c r="C22" s="48"/>
      <c r="D22" s="49"/>
      <c r="E22" s="49"/>
      <c r="F22" s="49"/>
      <c r="G22" s="48"/>
      <c r="H22" s="106">
        <v>-1</v>
      </c>
      <c r="O22" s="65" t="s">
        <v>89</v>
      </c>
      <c r="R22" s="65">
        <v>102884</v>
      </c>
    </row>
    <row r="23" spans="2:18" x14ac:dyDescent="0.25">
      <c r="B23" s="84"/>
      <c r="C23" s="48"/>
      <c r="D23" s="49"/>
      <c r="E23" s="49"/>
      <c r="F23" s="49"/>
      <c r="G23" s="48"/>
      <c r="H23" s="106">
        <v>-1</v>
      </c>
      <c r="O23" s="58" t="s">
        <v>91</v>
      </c>
      <c r="R23" s="65">
        <v>470073</v>
      </c>
    </row>
    <row r="24" spans="2:18" x14ac:dyDescent="0.25">
      <c r="B24" s="84"/>
      <c r="C24" s="48"/>
      <c r="D24" s="49"/>
      <c r="E24" s="49"/>
      <c r="F24" s="49"/>
      <c r="G24" s="48"/>
      <c r="H24" s="106">
        <v>-1</v>
      </c>
      <c r="O24" s="58" t="s">
        <v>92</v>
      </c>
      <c r="R24" s="66" t="s">
        <v>93</v>
      </c>
    </row>
    <row r="25" spans="2:18" x14ac:dyDescent="0.25">
      <c r="B25" s="84"/>
      <c r="C25" s="48"/>
      <c r="D25" s="49"/>
      <c r="E25" s="49"/>
      <c r="F25" s="49"/>
      <c r="G25" s="48"/>
      <c r="H25" s="106">
        <v>-1</v>
      </c>
      <c r="O25" s="58" t="s">
        <v>94</v>
      </c>
      <c r="P25" s="65"/>
      <c r="Q25" s="65"/>
      <c r="R25" s="65">
        <v>430</v>
      </c>
    </row>
    <row r="26" spans="2:18" x14ac:dyDescent="0.25">
      <c r="B26" s="84"/>
      <c r="C26" s="48"/>
      <c r="D26" s="49"/>
      <c r="E26" s="49"/>
      <c r="F26" s="49"/>
      <c r="G26" s="48"/>
      <c r="H26" s="106">
        <v>-1</v>
      </c>
      <c r="O26" s="58" t="s">
        <v>95</v>
      </c>
      <c r="P26" s="65"/>
      <c r="Q26" s="65"/>
      <c r="R26" s="65">
        <v>2784</v>
      </c>
    </row>
    <row r="27" spans="2:18" x14ac:dyDescent="0.25">
      <c r="B27" s="84"/>
      <c r="C27" s="48"/>
      <c r="D27" s="49"/>
      <c r="E27" s="49"/>
      <c r="F27" s="49"/>
      <c r="G27" s="48"/>
      <c r="H27" s="106">
        <v>-1</v>
      </c>
      <c r="O27" s="58" t="s">
        <v>96</v>
      </c>
      <c r="P27" s="65"/>
      <c r="Q27" s="65"/>
      <c r="R27" s="65">
        <v>8502</v>
      </c>
    </row>
    <row r="28" spans="2:18" x14ac:dyDescent="0.25">
      <c r="B28" s="84"/>
      <c r="C28" s="48"/>
      <c r="D28" s="49"/>
      <c r="E28" s="49"/>
      <c r="F28" s="49"/>
      <c r="G28" s="48"/>
      <c r="H28" s="106">
        <v>-1</v>
      </c>
      <c r="O28" s="58" t="s">
        <v>96</v>
      </c>
      <c r="P28" s="65"/>
      <c r="Q28" s="65"/>
      <c r="R28" s="67" t="s">
        <v>97</v>
      </c>
    </row>
    <row r="29" spans="2:18" x14ac:dyDescent="0.25">
      <c r="B29" s="84"/>
      <c r="C29" s="48"/>
      <c r="D29" s="49"/>
      <c r="E29" s="49"/>
      <c r="F29" s="49"/>
      <c r="G29" s="48"/>
      <c r="H29" s="106">
        <v>-1</v>
      </c>
      <c r="O29" s="58" t="s">
        <v>96</v>
      </c>
      <c r="P29" s="65"/>
      <c r="Q29" s="65"/>
      <c r="R29" s="65">
        <v>7611</v>
      </c>
    </row>
    <row r="30" spans="2:18" x14ac:dyDescent="0.25">
      <c r="B30" s="84"/>
      <c r="C30" s="48"/>
      <c r="D30" s="49"/>
      <c r="E30" s="49"/>
      <c r="F30" s="49"/>
      <c r="G30" s="48"/>
      <c r="H30" s="106">
        <v>-1</v>
      </c>
      <c r="O30" s="58" t="s">
        <v>96</v>
      </c>
      <c r="P30" s="65"/>
      <c r="Q30" s="65"/>
      <c r="R30" s="58">
        <v>1115</v>
      </c>
    </row>
    <row r="31" spans="2:18" x14ac:dyDescent="0.25">
      <c r="B31" s="84"/>
      <c r="C31" s="48"/>
      <c r="D31" s="49"/>
      <c r="E31" s="49"/>
      <c r="F31" s="49"/>
      <c r="G31" s="48"/>
      <c r="H31" s="106">
        <v>-1</v>
      </c>
      <c r="O31" s="58" t="s">
        <v>95</v>
      </c>
      <c r="P31" s="65"/>
      <c r="Q31" s="65"/>
      <c r="R31" s="58">
        <v>5847</v>
      </c>
    </row>
    <row r="32" spans="2:18" x14ac:dyDescent="0.25">
      <c r="B32" s="84"/>
      <c r="C32" s="48"/>
      <c r="D32" s="49"/>
      <c r="E32" s="49"/>
      <c r="F32" s="49"/>
      <c r="G32" s="48"/>
      <c r="H32" s="106">
        <v>-1</v>
      </c>
      <c r="O32" s="58" t="s">
        <v>95</v>
      </c>
      <c r="P32" s="65"/>
      <c r="Q32" s="65"/>
      <c r="R32" s="58">
        <v>5840</v>
      </c>
    </row>
    <row r="33" spans="2:18" x14ac:dyDescent="0.25">
      <c r="B33" s="84"/>
      <c r="C33" s="48"/>
      <c r="D33" s="49"/>
      <c r="E33" s="49"/>
      <c r="F33" s="49"/>
      <c r="G33" s="48"/>
      <c r="H33" s="106">
        <v>-1</v>
      </c>
      <c r="O33" s="58" t="s">
        <v>98</v>
      </c>
      <c r="P33" s="65"/>
      <c r="Q33" s="65"/>
      <c r="R33" s="58">
        <v>312009</v>
      </c>
    </row>
    <row r="34" spans="2:18" x14ac:dyDescent="0.25">
      <c r="B34" s="84"/>
      <c r="C34" s="48"/>
      <c r="D34" s="49"/>
      <c r="E34" s="49"/>
      <c r="F34" s="49"/>
      <c r="G34" s="48"/>
      <c r="H34" s="106">
        <v>-1</v>
      </c>
      <c r="O34" s="58" t="s">
        <v>99</v>
      </c>
      <c r="P34" s="65"/>
      <c r="Q34" s="65"/>
      <c r="R34" s="58">
        <v>13</v>
      </c>
    </row>
    <row r="35" spans="2:18" x14ac:dyDescent="0.25">
      <c r="B35" s="84"/>
      <c r="C35" s="48"/>
      <c r="D35" s="49"/>
      <c r="E35" s="49"/>
      <c r="F35" s="49"/>
      <c r="G35" s="48"/>
      <c r="H35" s="106">
        <v>-1</v>
      </c>
    </row>
    <row r="36" spans="2:18" x14ac:dyDescent="0.25">
      <c r="B36" s="84"/>
      <c r="C36" s="48"/>
      <c r="D36" s="49"/>
      <c r="E36" s="49"/>
      <c r="F36" s="49"/>
      <c r="G36" s="48"/>
      <c r="H36" s="106">
        <v>-1</v>
      </c>
    </row>
    <row r="37" spans="2:18" x14ac:dyDescent="0.25">
      <c r="B37" s="84"/>
      <c r="C37" s="48"/>
      <c r="D37" s="49"/>
      <c r="E37" s="49"/>
      <c r="F37" s="49"/>
      <c r="G37" s="48"/>
      <c r="H37" s="106">
        <v>-1</v>
      </c>
    </row>
    <row r="38" spans="2:18" x14ac:dyDescent="0.25">
      <c r="B38" s="84"/>
      <c r="C38" s="48"/>
      <c r="D38" s="49"/>
      <c r="E38" s="49"/>
      <c r="F38" s="49"/>
      <c r="G38" s="48"/>
      <c r="H38" s="106">
        <v>-1</v>
      </c>
    </row>
    <row r="39" spans="2:18" x14ac:dyDescent="0.25">
      <c r="B39" s="84"/>
      <c r="C39" s="48"/>
      <c r="D39" s="49"/>
      <c r="E39" s="49"/>
      <c r="F39" s="49"/>
      <c r="G39" s="48"/>
      <c r="H39" s="106">
        <v>-1</v>
      </c>
    </row>
    <row r="40" spans="2:18" x14ac:dyDescent="0.25">
      <c r="B40" s="84"/>
      <c r="C40" s="48"/>
      <c r="D40" s="49"/>
      <c r="E40" s="49"/>
      <c r="F40" s="49"/>
      <c r="G40" s="48"/>
      <c r="H40" s="106">
        <v>-1</v>
      </c>
    </row>
    <row r="41" spans="2:18" x14ac:dyDescent="0.25">
      <c r="B41" s="84"/>
      <c r="C41" s="48"/>
      <c r="D41" s="49"/>
      <c r="E41" s="49"/>
      <c r="F41" s="49"/>
      <c r="G41" s="48"/>
      <c r="H41" s="106">
        <v>-1</v>
      </c>
    </row>
    <row r="42" spans="2:18" x14ac:dyDescent="0.25">
      <c r="B42" s="84"/>
      <c r="C42" s="48"/>
      <c r="D42" s="49"/>
      <c r="E42" s="49"/>
      <c r="F42" s="49"/>
      <c r="G42" s="48"/>
      <c r="H42" s="106">
        <v>-1</v>
      </c>
    </row>
  </sheetData>
  <sheetProtection formatCells="0" formatColumns="0" formatRows="0" insertHyperlinks="0" sort="0" autoFilter="0" pivotTables="0"/>
  <phoneticPr fontId="2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ge">
                <anchor moveWithCells="1" sizeWithCells="1">
                  <from>
                    <xdr:col>12</xdr:col>
                    <xdr:colOff>495300</xdr:colOff>
                    <xdr:row>1</xdr:row>
                    <xdr:rowOff>114300</xdr:rowOff>
                  </from>
                  <to>
                    <xdr:col>13</xdr:col>
                    <xdr:colOff>647700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35"/>
  <sheetViews>
    <sheetView workbookViewId="0">
      <selection activeCell="A10" sqref="A10"/>
    </sheetView>
  </sheetViews>
  <sheetFormatPr defaultRowHeight="15.75" x14ac:dyDescent="0.25"/>
  <cols>
    <col min="1" max="1" width="23" customWidth="1"/>
    <col min="2" max="2" width="79.5" customWidth="1"/>
    <col min="4" max="4" width="44.375" customWidth="1"/>
    <col min="5" max="5" width="10.25" style="111" bestFit="1" customWidth="1"/>
  </cols>
  <sheetData>
    <row r="1" spans="1:5" x14ac:dyDescent="0.25">
      <c r="A1" s="107" t="s">
        <v>104</v>
      </c>
      <c r="D1" s="107" t="s">
        <v>137</v>
      </c>
    </row>
    <row r="2" spans="1:5" x14ac:dyDescent="0.25">
      <c r="A2" s="108" t="s">
        <v>105</v>
      </c>
      <c r="B2" s="108" t="s">
        <v>106</v>
      </c>
      <c r="D2" s="58" t="s">
        <v>159</v>
      </c>
      <c r="E2" s="67"/>
    </row>
    <row r="3" spans="1:5" ht="16.5" customHeight="1" x14ac:dyDescent="0.25">
      <c r="A3" s="108" t="s">
        <v>107</v>
      </c>
      <c r="B3" s="108" t="s">
        <v>108</v>
      </c>
      <c r="D3" s="58" t="s">
        <v>160</v>
      </c>
      <c r="E3" s="67"/>
    </row>
    <row r="4" spans="1:5" x14ac:dyDescent="0.25">
      <c r="A4" s="108" t="s">
        <v>109</v>
      </c>
      <c r="B4" s="108" t="s">
        <v>110</v>
      </c>
      <c r="D4" s="58" t="s">
        <v>161</v>
      </c>
      <c r="E4" s="67"/>
    </row>
    <row r="5" spans="1:5" x14ac:dyDescent="0.25">
      <c r="A5" s="108" t="s">
        <v>111</v>
      </c>
      <c r="B5" s="108" t="s">
        <v>112</v>
      </c>
      <c r="D5" s="58" t="s">
        <v>162</v>
      </c>
      <c r="E5" s="67"/>
    </row>
    <row r="6" spans="1:5" x14ac:dyDescent="0.25">
      <c r="A6" s="108" t="s">
        <v>113</v>
      </c>
      <c r="B6" s="108" t="s">
        <v>114</v>
      </c>
      <c r="D6" s="58" t="s">
        <v>163</v>
      </c>
      <c r="E6" s="67"/>
    </row>
    <row r="7" spans="1:5" x14ac:dyDescent="0.25">
      <c r="A7" s="108" t="s">
        <v>115</v>
      </c>
      <c r="B7" s="108" t="s">
        <v>116</v>
      </c>
      <c r="D7" s="58" t="s">
        <v>164</v>
      </c>
      <c r="E7" s="67"/>
    </row>
    <row r="8" spans="1:5" x14ac:dyDescent="0.25">
      <c r="A8" s="108" t="s">
        <v>77</v>
      </c>
      <c r="B8" s="108" t="s">
        <v>117</v>
      </c>
      <c r="D8" s="58" t="s">
        <v>165</v>
      </c>
      <c r="E8" s="67"/>
    </row>
    <row r="9" spans="1:5" x14ac:dyDescent="0.25">
      <c r="A9" s="108" t="s">
        <v>118</v>
      </c>
      <c r="B9" s="108" t="s">
        <v>119</v>
      </c>
      <c r="D9" s="58" t="s">
        <v>166</v>
      </c>
      <c r="E9" s="67"/>
    </row>
    <row r="10" spans="1:5" x14ac:dyDescent="0.25">
      <c r="A10" s="108" t="s">
        <v>120</v>
      </c>
      <c r="B10" s="108" t="s">
        <v>121</v>
      </c>
      <c r="D10" s="58" t="s">
        <v>167</v>
      </c>
      <c r="E10" s="67"/>
    </row>
    <row r="11" spans="1:5" x14ac:dyDescent="0.25">
      <c r="A11" s="108" t="s">
        <v>122</v>
      </c>
      <c r="B11" s="108" t="s">
        <v>123</v>
      </c>
      <c r="D11" s="58" t="s">
        <v>168</v>
      </c>
      <c r="E11" s="67"/>
    </row>
    <row r="12" spans="1:5" x14ac:dyDescent="0.25">
      <c r="A12" s="108" t="s">
        <v>124</v>
      </c>
      <c r="B12" s="108" t="s">
        <v>125</v>
      </c>
      <c r="D12" s="65" t="s">
        <v>169</v>
      </c>
      <c r="E12" s="67"/>
    </row>
    <row r="13" spans="1:5" x14ac:dyDescent="0.25">
      <c r="D13" s="65" t="s">
        <v>170</v>
      </c>
      <c r="E13" s="67"/>
    </row>
    <row r="14" spans="1:5" x14ac:dyDescent="0.25">
      <c r="A14" s="107" t="s">
        <v>126</v>
      </c>
      <c r="D14" s="65" t="s">
        <v>171</v>
      </c>
      <c r="E14" s="67"/>
    </row>
    <row r="15" spans="1:5" x14ac:dyDescent="0.25">
      <c r="A15" s="135" t="s">
        <v>127</v>
      </c>
      <c r="B15" s="135"/>
      <c r="D15" s="58" t="s">
        <v>172</v>
      </c>
      <c r="E15" s="67"/>
    </row>
    <row r="16" spans="1:5" x14ac:dyDescent="0.25">
      <c r="A16" s="134" t="s">
        <v>128</v>
      </c>
      <c r="B16" s="134"/>
      <c r="D16" s="58" t="s">
        <v>173</v>
      </c>
      <c r="E16" s="66"/>
    </row>
    <row r="17" spans="1:5" x14ac:dyDescent="0.25">
      <c r="A17" s="135" t="s">
        <v>129</v>
      </c>
      <c r="B17" s="135"/>
      <c r="D17" s="58" t="s">
        <v>174</v>
      </c>
      <c r="E17" s="67"/>
    </row>
    <row r="18" spans="1:5" x14ac:dyDescent="0.25">
      <c r="A18" s="135" t="s">
        <v>140</v>
      </c>
      <c r="B18" s="135"/>
      <c r="D18" s="58" t="s">
        <v>175</v>
      </c>
      <c r="E18" s="67"/>
    </row>
    <row r="19" spans="1:5" x14ac:dyDescent="0.25">
      <c r="A19" s="134" t="s">
        <v>130</v>
      </c>
      <c r="B19" s="134"/>
      <c r="D19" s="58" t="s">
        <v>176</v>
      </c>
      <c r="E19" s="67"/>
    </row>
    <row r="20" spans="1:5" x14ac:dyDescent="0.25">
      <c r="A20" s="135" t="s">
        <v>131</v>
      </c>
      <c r="B20" s="135"/>
      <c r="D20" s="58" t="s">
        <v>177</v>
      </c>
      <c r="E20" s="67"/>
    </row>
    <row r="21" spans="1:5" x14ac:dyDescent="0.25">
      <c r="A21" s="135" t="s">
        <v>132</v>
      </c>
      <c r="B21" s="135"/>
      <c r="D21" s="58" t="s">
        <v>178</v>
      </c>
      <c r="E21" s="67"/>
    </row>
    <row r="22" spans="1:5" x14ac:dyDescent="0.25">
      <c r="A22" s="109"/>
      <c r="B22" s="110"/>
      <c r="D22" s="58" t="s">
        <v>179</v>
      </c>
      <c r="E22" s="66"/>
    </row>
    <row r="23" spans="1:5" x14ac:dyDescent="0.25">
      <c r="A23" s="134" t="s">
        <v>133</v>
      </c>
      <c r="B23" s="134"/>
      <c r="D23" s="58" t="s">
        <v>180</v>
      </c>
      <c r="E23" s="66"/>
    </row>
    <row r="24" spans="1:5" ht="22.5" customHeight="1" x14ac:dyDescent="0.25">
      <c r="A24" s="136" t="s">
        <v>134</v>
      </c>
      <c r="B24" s="136"/>
      <c r="D24" s="58" t="s">
        <v>181</v>
      </c>
      <c r="E24" s="66"/>
    </row>
    <row r="25" spans="1:5" x14ac:dyDescent="0.25">
      <c r="A25" s="109" t="s">
        <v>135</v>
      </c>
      <c r="B25" s="110"/>
      <c r="D25" s="58" t="s">
        <v>182</v>
      </c>
      <c r="E25" s="66"/>
    </row>
    <row r="26" spans="1:5" ht="21.75" customHeight="1" x14ac:dyDescent="0.25">
      <c r="A26" s="136" t="s">
        <v>136</v>
      </c>
      <c r="B26" s="136"/>
      <c r="D26" s="58" t="s">
        <v>183</v>
      </c>
      <c r="E26" s="66"/>
    </row>
    <row r="27" spans="1:5" x14ac:dyDescent="0.25">
      <c r="D27" s="58" t="s">
        <v>184</v>
      </c>
      <c r="E27" s="66"/>
    </row>
    <row r="28" spans="1:5" x14ac:dyDescent="0.25">
      <c r="A28" s="134" t="s">
        <v>138</v>
      </c>
      <c r="B28" s="134"/>
      <c r="D28" s="58" t="s">
        <v>185</v>
      </c>
      <c r="E28" s="66"/>
    </row>
    <row r="29" spans="1:5" x14ac:dyDescent="0.25">
      <c r="A29" s="135" t="s">
        <v>139</v>
      </c>
      <c r="B29" s="135"/>
      <c r="D29" s="58" t="s">
        <v>186</v>
      </c>
      <c r="E29" s="66"/>
    </row>
    <row r="30" spans="1:5" x14ac:dyDescent="0.25">
      <c r="A30" s="134" t="s">
        <v>144</v>
      </c>
      <c r="B30" s="134"/>
      <c r="D30" s="58" t="s">
        <v>187</v>
      </c>
      <c r="E30" s="66"/>
    </row>
    <row r="31" spans="1:5" x14ac:dyDescent="0.25">
      <c r="A31" s="121" t="s">
        <v>145</v>
      </c>
      <c r="D31" s="58" t="s">
        <v>188</v>
      </c>
      <c r="E31" s="66"/>
    </row>
    <row r="32" spans="1:5" x14ac:dyDescent="0.25">
      <c r="A32" s="134" t="s">
        <v>147</v>
      </c>
      <c r="B32" s="134"/>
      <c r="D32" s="58" t="s">
        <v>189</v>
      </c>
      <c r="E32" s="66"/>
    </row>
    <row r="33" spans="1:5" x14ac:dyDescent="0.25">
      <c r="A33" s="121" t="s">
        <v>146</v>
      </c>
      <c r="D33" s="58" t="s">
        <v>190</v>
      </c>
      <c r="E33" s="58"/>
    </row>
    <row r="34" spans="1:5" x14ac:dyDescent="0.25">
      <c r="D34" s="58" t="s">
        <v>191</v>
      </c>
      <c r="E34" s="58"/>
    </row>
    <row r="35" spans="1:5" x14ac:dyDescent="0.25">
      <c r="D35" s="58" t="s">
        <v>158</v>
      </c>
    </row>
  </sheetData>
  <mergeCells count="14">
    <mergeCell ref="A32:B32"/>
    <mergeCell ref="A15:B15"/>
    <mergeCell ref="A17:B17"/>
    <mergeCell ref="A18:B18"/>
    <mergeCell ref="A20:B20"/>
    <mergeCell ref="A21:B21"/>
    <mergeCell ref="A30:B30"/>
    <mergeCell ref="A23:B23"/>
    <mergeCell ref="A19:B19"/>
    <mergeCell ref="A16:B16"/>
    <mergeCell ref="A29:B29"/>
    <mergeCell ref="A28:B28"/>
    <mergeCell ref="A26:B26"/>
    <mergeCell ref="A24:B24"/>
  </mergeCells>
  <pageMargins left="0.7" right="0.7" top="0.75" bottom="0.75" header="0.3" footer="0.3"/>
  <pageSetup paperSize="9" scale="73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Q68"/>
  <sheetViews>
    <sheetView view="pageBreakPreview" topLeftCell="A13" zoomScale="115" zoomScaleNormal="100" zoomScaleSheetLayoutView="115" workbookViewId="0">
      <selection activeCell="F30" sqref="F30"/>
    </sheetView>
  </sheetViews>
  <sheetFormatPr defaultRowHeight="15.75" x14ac:dyDescent="0.25"/>
  <cols>
    <col min="9" max="9" width="9" customWidth="1"/>
  </cols>
  <sheetData>
    <row r="1" spans="1:17" x14ac:dyDescent="0.25">
      <c r="A1" s="1"/>
      <c r="B1" s="1"/>
      <c r="C1" s="125" t="s">
        <v>149</v>
      </c>
      <c r="D1" s="125"/>
      <c r="E1" s="125"/>
      <c r="F1" s="41">
        <f>Протокол!F1</f>
        <v>1096</v>
      </c>
      <c r="G1" s="40">
        <v>-42</v>
      </c>
      <c r="H1" s="1"/>
      <c r="I1" s="1"/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</row>
    <row r="3" spans="1:17" x14ac:dyDescent="0.25">
      <c r="A3" s="24" t="s">
        <v>50</v>
      </c>
      <c r="B3" s="1"/>
      <c r="C3" s="38" t="str">
        <f>Протокол!C3</f>
        <v>Установка высоковольтная</v>
      </c>
      <c r="D3" s="38"/>
      <c r="E3" s="38"/>
      <c r="F3" s="38"/>
      <c r="G3" s="38"/>
      <c r="H3" s="38"/>
      <c r="I3" s="38"/>
    </row>
    <row r="4" spans="1:17" x14ac:dyDescent="0.25">
      <c r="A4" s="1"/>
      <c r="B4" s="1"/>
      <c r="C4" s="59" t="str">
        <f>Протокол!C4</f>
        <v>АИД-70</v>
      </c>
      <c r="D4" s="59"/>
      <c r="E4" s="59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x14ac:dyDescent="0.25">
      <c r="A5" s="1"/>
      <c r="B5" s="1"/>
      <c r="C5" s="1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x14ac:dyDescent="0.25">
      <c r="A6" s="1" t="s">
        <v>23</v>
      </c>
      <c r="B6" s="1"/>
      <c r="C6" s="59">
        <f>Протокол!C6</f>
        <v>2093</v>
      </c>
      <c r="D6" s="59"/>
      <c r="E6" s="59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x14ac:dyDescent="0.25">
      <c r="A7" s="1"/>
      <c r="B7" s="1"/>
      <c r="C7" s="1"/>
      <c r="D7" s="1"/>
      <c r="E7" s="1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x14ac:dyDescent="0.25">
      <c r="A8" s="1" t="s">
        <v>24</v>
      </c>
      <c r="B8" s="59" t="str">
        <f>Протокол!B8</f>
        <v>ОАО "МЭТЗ ИМ. В.И.КОЗЛОВА",</v>
      </c>
      <c r="C8" s="112"/>
      <c r="D8" s="112"/>
      <c r="E8" s="112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x14ac:dyDescent="0.25">
      <c r="A9" s="1"/>
      <c r="B9" s="59" t="str">
        <f>Протокол!B9</f>
        <v>ул. Уральская, 4, каб. 502, 220037, г. Минск</v>
      </c>
      <c r="C9" s="59"/>
      <c r="D9" s="59"/>
      <c r="E9" s="59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x14ac:dyDescent="0.25">
      <c r="A10" s="1"/>
      <c r="B10" s="1"/>
      <c r="C10" s="59"/>
      <c r="D10" s="59"/>
      <c r="E10" s="59"/>
      <c r="F10" s="59"/>
      <c r="G10" s="59"/>
      <c r="H10" s="59"/>
      <c r="I10" s="59"/>
    </row>
    <row r="11" spans="1:17" x14ac:dyDescent="0.25">
      <c r="A11" s="1"/>
      <c r="B11" s="1"/>
      <c r="C11" s="6"/>
      <c r="D11" s="6"/>
      <c r="E11" s="6"/>
      <c r="F11" s="6"/>
      <c r="G11" s="6"/>
      <c r="H11" s="6"/>
      <c r="I11" s="6"/>
    </row>
    <row r="12" spans="1:17" x14ac:dyDescent="0.25">
      <c r="A12" s="1" t="s">
        <v>70</v>
      </c>
      <c r="B12" s="1"/>
      <c r="C12" s="122" t="str">
        <f>IF(Протокол!C12="","",Протокол!C12)</f>
        <v/>
      </c>
      <c r="D12" s="122" t="s">
        <v>66</v>
      </c>
      <c r="E12" s="60" t="str">
        <f>IF(Протокол!E12="","",Протокол!E12)</f>
        <v/>
      </c>
      <c r="F12" s="59"/>
      <c r="G12" s="59"/>
      <c r="H12" s="59"/>
      <c r="I12" s="59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17" x14ac:dyDescent="0.25">
      <c r="A14" s="1" t="s">
        <v>69</v>
      </c>
      <c r="B14" s="1"/>
      <c r="C14" s="127" t="s">
        <v>59</v>
      </c>
      <c r="D14" s="127"/>
      <c r="E14" s="127"/>
      <c r="F14" s="127"/>
      <c r="G14" s="127"/>
      <c r="H14" s="127"/>
      <c r="I14" s="127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17" x14ac:dyDescent="0.25">
      <c r="A16" s="1" t="s">
        <v>25</v>
      </c>
      <c r="B16" s="1"/>
      <c r="C16" s="26" t="s">
        <v>26</v>
      </c>
      <c r="D16" s="114">
        <f>Протокол!D16</f>
        <v>44172</v>
      </c>
      <c r="E16" s="27"/>
      <c r="F16" s="24" t="s">
        <v>27</v>
      </c>
      <c r="G16" s="114">
        <f>Протокол!G16</f>
        <v>44172</v>
      </c>
      <c r="H16" s="1"/>
      <c r="I16" s="27"/>
    </row>
    <row r="17" spans="1:9" x14ac:dyDescent="0.25">
      <c r="A17" s="131" t="s">
        <v>142</v>
      </c>
      <c r="B17" s="131"/>
      <c r="C17" s="1"/>
      <c r="D17" s="114">
        <f>Протокол!D17</f>
        <v>44172</v>
      </c>
      <c r="E17" s="114"/>
      <c r="F17" s="1"/>
      <c r="G17" s="1"/>
      <c r="H17" s="1"/>
      <c r="I17" s="1"/>
    </row>
    <row r="18" spans="1:9" x14ac:dyDescent="0.25">
      <c r="A18" s="1" t="s">
        <v>28</v>
      </c>
      <c r="B18" s="1"/>
      <c r="C18" s="113" t="str">
        <f>IF(Протокол!C18="","",Протокол!C18)</f>
        <v>Метод непосредственной оценки / МРП МК 42 13.455-2016</v>
      </c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13" t="str">
        <f>IF(Протокол!C19="","",Протокол!C19)</f>
        <v/>
      </c>
      <c r="D19" s="1"/>
      <c r="E19" s="1"/>
      <c r="F19" s="1"/>
      <c r="G19" s="1"/>
      <c r="H19" s="1"/>
      <c r="I19" s="1"/>
    </row>
    <row r="20" spans="1:9" x14ac:dyDescent="0.25">
      <c r="A20" s="126" t="s">
        <v>29</v>
      </c>
      <c r="B20" s="126"/>
      <c r="C20" s="1"/>
      <c r="D20" s="1"/>
      <c r="E20" s="1"/>
      <c r="F20" s="1"/>
      <c r="G20" s="1"/>
      <c r="H20" s="1"/>
      <c r="I20" s="1"/>
    </row>
    <row r="21" spans="1:9" x14ac:dyDescent="0.25">
      <c r="A21" s="126"/>
      <c r="B21" s="126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17" t="s">
        <v>143</v>
      </c>
      <c r="B23" s="118"/>
      <c r="C23" s="118"/>
      <c r="D23" s="118"/>
      <c r="E23" s="118"/>
      <c r="F23" s="118"/>
      <c r="G23" s="118"/>
      <c r="H23" s="118"/>
      <c r="I23" s="119"/>
    </row>
    <row r="24" spans="1:9" x14ac:dyDescent="0.25">
      <c r="A24" s="115" t="str">
        <f>IF(Протокол!A24="","",Протокол!A24)</f>
        <v>киловольтметр Vitrek 4700 №017755,</v>
      </c>
      <c r="B24" s="115"/>
      <c r="C24" s="115"/>
      <c r="D24" s="115"/>
      <c r="E24" s="115"/>
      <c r="F24" s="118"/>
      <c r="G24" s="118"/>
      <c r="H24" s="118"/>
      <c r="I24" s="116"/>
    </row>
    <row r="25" spans="1:9" x14ac:dyDescent="0.25">
      <c r="A25" s="115" t="str">
        <f>IF(Протокол!A25="","",Протокол!A25)</f>
        <v>делитель HVL-100 №019598,</v>
      </c>
      <c r="B25" s="115"/>
      <c r="C25" s="115"/>
      <c r="D25" s="115"/>
      <c r="E25" s="115"/>
      <c r="F25" s="118"/>
      <c r="G25" s="118"/>
      <c r="H25" s="118"/>
      <c r="I25" s="116"/>
    </row>
    <row r="26" spans="1:9" x14ac:dyDescent="0.25">
      <c r="A26" s="115" t="str">
        <f>IF(Протокол!A26="","",Протокол!A26)</f>
        <v>мультиметр Fluke 28II №29300096</v>
      </c>
      <c r="B26" s="115"/>
      <c r="C26" s="115"/>
      <c r="D26" s="115"/>
      <c r="E26" s="115"/>
      <c r="F26" s="118"/>
      <c r="G26" s="118"/>
      <c r="H26" s="118"/>
      <c r="I26" s="116"/>
    </row>
    <row r="27" spans="1:9" x14ac:dyDescent="0.25">
      <c r="A27" s="115" t="str">
        <f>IF(Протокол!A27="","",Протокол!A27)</f>
        <v/>
      </c>
      <c r="B27" s="115"/>
      <c r="C27" s="115"/>
      <c r="D27" s="115"/>
      <c r="E27" s="115"/>
      <c r="F27" s="118"/>
      <c r="G27" s="118"/>
      <c r="H27" s="118"/>
      <c r="I27" s="116"/>
    </row>
    <row r="28" spans="1:9" x14ac:dyDescent="0.25">
      <c r="A28" s="115" t="str">
        <f>IF(Протокол!A28="","",Протокол!A28)</f>
        <v/>
      </c>
      <c r="B28" s="115"/>
      <c r="C28" s="115"/>
      <c r="D28" s="115"/>
      <c r="E28" s="115"/>
      <c r="F28" s="118"/>
      <c r="G28" s="118"/>
      <c r="H28" s="118"/>
      <c r="I28" s="116"/>
    </row>
    <row r="29" spans="1:9" x14ac:dyDescent="0.25">
      <c r="A29" s="115" t="str">
        <f>IF(Протокол!A29="","",Протокол!A29)</f>
        <v/>
      </c>
      <c r="B29" s="115"/>
      <c r="C29" s="115"/>
      <c r="D29" s="115"/>
      <c r="E29" s="115"/>
      <c r="F29" s="118"/>
      <c r="G29" s="118"/>
      <c r="H29" s="118"/>
      <c r="I29" s="116"/>
    </row>
    <row r="30" spans="1:9" x14ac:dyDescent="0.25">
      <c r="A30" s="1" t="s">
        <v>44</v>
      </c>
      <c r="B30" s="1"/>
      <c r="C30" s="27" t="s">
        <v>38</v>
      </c>
      <c r="D30" s="1"/>
      <c r="E30" s="1"/>
      <c r="F30" s="1"/>
      <c r="G30" s="1"/>
      <c r="H30" s="1"/>
      <c r="I30" s="1"/>
    </row>
    <row r="31" spans="1:9" x14ac:dyDescent="0.25">
      <c r="A31" s="24" t="s">
        <v>30</v>
      </c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24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24" t="s">
        <v>35</v>
      </c>
      <c r="B33" s="1"/>
      <c r="C33" s="28" t="s">
        <v>37</v>
      </c>
      <c r="D33" s="1"/>
      <c r="E33" s="1"/>
      <c r="F33" s="1"/>
      <c r="G33" s="1"/>
      <c r="H33" s="1"/>
      <c r="I33" s="1"/>
    </row>
    <row r="34" spans="1:9" x14ac:dyDescent="0.25">
      <c r="A34" s="24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24" t="s">
        <v>65</v>
      </c>
      <c r="B35" s="1"/>
      <c r="C35" s="29" t="s">
        <v>37</v>
      </c>
      <c r="D35" s="1"/>
      <c r="E35" s="1"/>
      <c r="F35" s="1"/>
      <c r="G35" s="1"/>
      <c r="H35" s="1"/>
      <c r="I35" s="1"/>
    </row>
    <row r="36" spans="1:9" x14ac:dyDescent="0.25">
      <c r="A36" s="24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24" t="s">
        <v>36</v>
      </c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24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24" t="s">
        <v>72</v>
      </c>
      <c r="B39" s="1"/>
      <c r="C39" s="29" t="s">
        <v>38</v>
      </c>
      <c r="D39" s="1"/>
      <c r="E39" s="1"/>
      <c r="F39" s="1"/>
      <c r="G39" s="1"/>
      <c r="H39" s="1"/>
      <c r="I39" s="1"/>
    </row>
    <row r="40" spans="1:9" x14ac:dyDescent="0.25">
      <c r="A40" s="24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24" t="s">
        <v>31</v>
      </c>
      <c r="B41" s="1"/>
      <c r="C41" s="29" t="s">
        <v>39</v>
      </c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 t="s">
        <v>32</v>
      </c>
      <c r="B43" s="1"/>
      <c r="C43" s="28" t="s">
        <v>43</v>
      </c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 t="s">
        <v>42</v>
      </c>
      <c r="B45" s="1"/>
      <c r="C45" s="1"/>
      <c r="D45" s="123">
        <f>Протокол!D45</f>
        <v>1096</v>
      </c>
      <c r="E45" s="1"/>
      <c r="F45" s="1"/>
      <c r="G45" s="1"/>
      <c r="H45" s="1"/>
      <c r="I45" s="1"/>
    </row>
    <row r="46" spans="1:9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25">
      <c r="A47" s="1" t="s">
        <v>71</v>
      </c>
      <c r="B47" s="1"/>
      <c r="C47" s="1"/>
      <c r="D47" s="129"/>
      <c r="E47" s="129"/>
      <c r="F47" s="1"/>
      <c r="G47" s="120" t="str">
        <f>Протокол!G60</f>
        <v>Инженер по метрологии 1к, А.Г. Валенда</v>
      </c>
      <c r="H47" s="120"/>
      <c r="I47" s="1"/>
    </row>
    <row r="48" spans="1:9" x14ac:dyDescent="0.25">
      <c r="A48" s="1"/>
      <c r="B48" s="1"/>
      <c r="C48" s="1"/>
      <c r="D48" s="130" t="s">
        <v>34</v>
      </c>
      <c r="E48" s="130"/>
      <c r="F48" s="31"/>
      <c r="G48" s="128" t="s">
        <v>33</v>
      </c>
      <c r="H48" s="128"/>
      <c r="I48" s="1"/>
    </row>
    <row r="49" spans="1:9" x14ac:dyDescent="0.25">
      <c r="I49" s="1"/>
    </row>
    <row r="50" spans="1:9" x14ac:dyDescent="0.25">
      <c r="I50" s="1"/>
    </row>
    <row r="51" spans="1:9" x14ac:dyDescent="0.25">
      <c r="A51" s="113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13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13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13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13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25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I60" s="1"/>
    </row>
    <row r="61" spans="1:9" x14ac:dyDescent="0.25"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25">
      <c r="A66" s="1"/>
      <c r="B66" s="1"/>
      <c r="C66" s="1"/>
      <c r="D66" s="1"/>
      <c r="E66" s="1"/>
      <c r="F66" s="1"/>
      <c r="G66" s="1"/>
      <c r="H66" s="1"/>
      <c r="I66" s="1"/>
    </row>
    <row r="67" spans="1:9" x14ac:dyDescent="0.25">
      <c r="A67" s="1"/>
      <c r="B67" s="1"/>
      <c r="C67" s="1"/>
      <c r="D67" s="1"/>
      <c r="E67" s="1"/>
      <c r="F67" s="1"/>
      <c r="G67" s="1"/>
      <c r="H67" s="1"/>
      <c r="I67" s="1"/>
    </row>
    <row r="68" spans="1:9" x14ac:dyDescent="0.25">
      <c r="A68" s="1"/>
      <c r="B68" s="1"/>
      <c r="C68" s="1"/>
      <c r="D68" s="1"/>
      <c r="E68" s="1"/>
      <c r="F68" s="1"/>
      <c r="G68" s="1"/>
      <c r="H68" s="1"/>
      <c r="I68" s="1"/>
    </row>
  </sheetData>
  <mergeCells count="7">
    <mergeCell ref="D48:E48"/>
    <mergeCell ref="G48:H48"/>
    <mergeCell ref="C1:E1"/>
    <mergeCell ref="C14:I14"/>
    <mergeCell ref="A17:B17"/>
    <mergeCell ref="A20:B21"/>
    <mergeCell ref="D47:E47"/>
  </mergeCells>
  <pageMargins left="0.7" right="0.7" top="0.75" bottom="0.75" header="0.3" footer="0.3"/>
  <pageSetup paperSize="9" scale="7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5"/>
  <sheetViews>
    <sheetView workbookViewId="0">
      <selection activeCell="C2" sqref="C2:C4"/>
    </sheetView>
  </sheetViews>
  <sheetFormatPr defaultRowHeight="15.75" x14ac:dyDescent="0.25"/>
  <cols>
    <col min="1" max="1" width="27.375" customWidth="1"/>
    <col min="2" max="2" width="27" customWidth="1"/>
    <col min="3" max="3" width="14.375" customWidth="1"/>
  </cols>
  <sheetData>
    <row r="1" spans="1:3" x14ac:dyDescent="0.25">
      <c r="A1" t="s">
        <v>150</v>
      </c>
      <c r="B1" t="s">
        <v>151</v>
      </c>
      <c r="C1" t="s">
        <v>192</v>
      </c>
    </row>
    <row r="2" spans="1:3" x14ac:dyDescent="0.25">
      <c r="A2" s="115" t="s">
        <v>152</v>
      </c>
      <c r="B2" s="115" t="s">
        <v>152</v>
      </c>
      <c r="C2" s="58" t="s">
        <v>188</v>
      </c>
    </row>
    <row r="3" spans="1:3" x14ac:dyDescent="0.25">
      <c r="A3" s="115" t="s">
        <v>153</v>
      </c>
      <c r="B3" s="115" t="s">
        <v>153</v>
      </c>
      <c r="C3" s="58" t="s">
        <v>190</v>
      </c>
    </row>
    <row r="4" spans="1:3" x14ac:dyDescent="0.25">
      <c r="A4" s="115" t="s">
        <v>156</v>
      </c>
      <c r="B4" s="115" t="s">
        <v>154</v>
      </c>
      <c r="C4" s="58" t="s">
        <v>187</v>
      </c>
    </row>
    <row r="5" spans="1:3" x14ac:dyDescent="0.25">
      <c r="A5" s="115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</vt:i4>
      </vt:variant>
    </vt:vector>
  </HeadingPairs>
  <TitlesOfParts>
    <vt:vector size="16" baseType="lpstr">
      <vt:lpstr>Протокол</vt:lpstr>
      <vt:lpstr>Измерения</vt:lpstr>
      <vt:lpstr>Бюджет</vt:lpstr>
      <vt:lpstr>Form1</vt:lpstr>
      <vt:lpstr>Form2</vt:lpstr>
      <vt:lpstr>Form3</vt:lpstr>
      <vt:lpstr>Свидетельство</vt:lpstr>
      <vt:lpstr>номера</vt:lpstr>
      <vt:lpstr>Рабочие записи</vt:lpstr>
      <vt:lpstr>сборки эталонов</vt:lpstr>
      <vt:lpstr>Form1!Область_печати</vt:lpstr>
      <vt:lpstr>Form2!Область_печати</vt:lpstr>
      <vt:lpstr>Form3!Область_печати</vt:lpstr>
      <vt:lpstr>Измерения!Область_печати</vt:lpstr>
      <vt:lpstr>Протокол!Область_печати</vt:lpstr>
      <vt:lpstr>'Рабочие записи'!Область_печати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Попко Вадим Васильевич</dc:creator>
  <cp:lastModifiedBy>Валенда Анатолий Генадьевич</cp:lastModifiedBy>
  <cp:lastPrinted>2019-01-03T07:32:17Z</cp:lastPrinted>
  <dcterms:created xsi:type="dcterms:W3CDTF">2016-05-27T06:15:59Z</dcterms:created>
  <dcterms:modified xsi:type="dcterms:W3CDTF">2021-08-23T13:13:07Z</dcterms:modified>
  <cp:category>QuametecPW</cp:category>
</cp:coreProperties>
</file>